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572294d83c54c77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A\"/>
    </mc:Choice>
  </mc:AlternateContent>
  <bookViews>
    <workbookView xWindow="600" yWindow="240" windowWidth="13935" windowHeight="8385" activeTab="2" xr2:uid="{00000000-000D-0000-FFFF-FFFF00000000}"/>
  </bookViews>
  <sheets>
    <sheet name="Valid&amp;InValid" sheetId="10" r:id="rId1"/>
    <sheet name="Validation" sheetId="11" r:id="rId2"/>
    <sheet name="Expected outcome" sheetId="12" r:id="rId3"/>
  </sheets>
  <calcPr calcId="171027"/>
</workbook>
</file>

<file path=xl/calcChain.xml><?xml version="1.0" encoding="utf-8"?>
<calcChain xmlns="http://schemas.openxmlformats.org/spreadsheetml/2006/main">
  <c r="C8" i="12" l="1"/>
  <c r="O2" i="12"/>
  <c r="Q2" i="12" s="1"/>
  <c r="S2" i="12" s="1"/>
  <c r="S3" i="12"/>
  <c r="S4" i="12"/>
  <c r="S5" i="12"/>
  <c r="Q3" i="12"/>
  <c r="Q4" i="12"/>
  <c r="Q5" i="12"/>
  <c r="O3" i="12"/>
  <c r="O4" i="12"/>
  <c r="O5" i="12"/>
  <c r="M4" i="12"/>
  <c r="M5" i="12"/>
  <c r="M3" i="12"/>
  <c r="M2" i="12"/>
</calcChain>
</file>

<file path=xl/sharedStrings.xml><?xml version="1.0" encoding="utf-8"?>
<sst xmlns="http://schemas.openxmlformats.org/spreadsheetml/2006/main" count="99" uniqueCount="50">
  <si>
    <t>B</t>
  </si>
  <si>
    <t>001</t>
  </si>
  <si>
    <t>P</t>
  </si>
  <si>
    <t>002</t>
  </si>
  <si>
    <t>S</t>
  </si>
  <si>
    <t>003</t>
  </si>
  <si>
    <t>C</t>
  </si>
  <si>
    <t>963441.67</t>
  </si>
  <si>
    <t>187520.24</t>
  </si>
  <si>
    <t>611447.39</t>
  </si>
  <si>
    <t>295453.80</t>
  </si>
  <si>
    <t>17809.42</t>
  </si>
  <si>
    <t>93774.69</t>
  </si>
  <si>
    <t>04815.01</t>
  </si>
  <si>
    <t>32234.20</t>
  </si>
  <si>
    <t>00</t>
  </si>
  <si>
    <t>4593.0813</t>
  </si>
  <si>
    <t>6606.4180</t>
  </si>
  <si>
    <t>2094.7547</t>
  </si>
  <si>
    <t>3028.2838</t>
  </si>
  <si>
    <t>X</t>
  </si>
  <si>
    <t>00.67383</t>
  </si>
  <si>
    <t>37.49709</t>
  </si>
  <si>
    <t>64.55169</t>
  </si>
  <si>
    <t>53.10633</t>
  </si>
  <si>
    <t>25,000</t>
  </si>
  <si>
    <t>5,000</t>
  </si>
  <si>
    <t>Boat Type</t>
  </si>
  <si>
    <t>AccessoryType</t>
  </si>
  <si>
    <t>Quantity</t>
  </si>
  <si>
    <t>Boat Cost</t>
  </si>
  <si>
    <t>Accessory Cost</t>
  </si>
  <si>
    <t>Prep Cost</t>
  </si>
  <si>
    <t>Markup amount</t>
  </si>
  <si>
    <t>SubTotal</t>
  </si>
  <si>
    <t>Tax</t>
  </si>
  <si>
    <t>Total Sales</t>
  </si>
  <si>
    <t>Number of Sales</t>
  </si>
  <si>
    <t>Grand Total</t>
  </si>
  <si>
    <t>000</t>
  </si>
  <si>
    <t>Bass</t>
  </si>
  <si>
    <t>Pontoon</t>
  </si>
  <si>
    <t>Ski</t>
  </si>
  <si>
    <t>Canoe</t>
  </si>
  <si>
    <t>Electronic</t>
  </si>
  <si>
    <t>Ski Package</t>
  </si>
  <si>
    <t>Fishing Package</t>
  </si>
  <si>
    <t>5,415.30</t>
  </si>
  <si>
    <t>3,980.00</t>
  </si>
  <si>
    <t>345.45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</si>
</sst>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 Narrow"/>
    </font>
    <font>
      <sz val="12"/>
      <name val="Arial Narrow"/>
      <family val="2"/>
    </font>
    <font>
      <u/>
      <sz val="11"/>
      <color theme="10"/>
      <name val="Arial Narrow"/>
      <family val="2"/>
    </font>
    <font>
      <sz val="11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</cellStyleXfs>
  <cellXfs count="7">
    <xf numFmtId="0" fontId="0" fillId="0" borderId="0" xfId="0"/>
    <xf numFmtId="0" fontId="3" fillId="0" borderId="0" xfId="0" applyFont="1"/>
    <xf numFmtId="0" fontId="3" fillId="0" borderId="0" xfId="0" applyNumberFormat="1" applyFont="1"/>
    <xf numFmtId="49" fontId="3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5" fillId="0" borderId="0" xfId="0" applyFont="1"/>
  </cellXfs>
  <cellStyles count="5">
    <cellStyle name="Hyperlink 2" xfId="3" xr:uid="{00000000-0005-0000-0000-000000000000}"/>
    <cellStyle name="Normal" xfId="0" builtinId="0"/>
    <cellStyle name="Normal 2" xfId="1" xr:uid="{00000000-0005-0000-0000-000002000000}"/>
    <cellStyle name="Normal 2 2" xfId="4" xr:uid="{00000000-0005-0000-0000-000003000000}"/>
    <cellStyle name="Normal 2 3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9"/>
  <sheetViews>
    <sheetView workbookViewId="0">
      <selection activeCell="D1" sqref="D1:D4"/>
    </sheetView>
  </sheetViews>
  <sheetFormatPr defaultRowHeight="15" x14ac:dyDescent="0.25"/>
  <cols>
    <col min="1" max="2" width="3" style="1" bestFit="1" customWidth="1"/>
    <col min="3" max="3" width="6" style="1" bestFit="1" customWidth="1"/>
    <col min="4" max="4" width="15.1640625" style="1" bestFit="1" customWidth="1"/>
    <col min="5" max="5" width="13.6640625" style="1" bestFit="1" customWidth="1"/>
    <col min="6" max="13" width="9.33203125" style="1"/>
    <col min="14" max="14" width="10.5" style="1" bestFit="1" customWidth="1"/>
    <col min="15" max="16384" width="9.33203125" style="1"/>
  </cols>
  <sheetData>
    <row r="1" spans="1:14" x14ac:dyDescent="0.25">
      <c r="A1" s="4" t="s">
        <v>0</v>
      </c>
      <c r="B1" s="4">
        <v>1</v>
      </c>
      <c r="C1" s="4" t="s">
        <v>1</v>
      </c>
      <c r="D1" s="3" t="s">
        <v>7</v>
      </c>
      <c r="E1" s="3" t="s">
        <v>11</v>
      </c>
    </row>
    <row r="2" spans="1:14" x14ac:dyDescent="0.25">
      <c r="A2" s="4" t="s">
        <v>2</v>
      </c>
      <c r="B2" s="4">
        <v>2</v>
      </c>
      <c r="C2" s="4" t="s">
        <v>3</v>
      </c>
      <c r="D2" s="3" t="s">
        <v>8</v>
      </c>
      <c r="E2" s="3" t="s">
        <v>12</v>
      </c>
    </row>
    <row r="3" spans="1:14" x14ac:dyDescent="0.25">
      <c r="A3" s="4" t="s">
        <v>4</v>
      </c>
      <c r="B3" s="4">
        <v>3</v>
      </c>
      <c r="C3" s="4" t="s">
        <v>5</v>
      </c>
      <c r="D3" s="3" t="s">
        <v>9</v>
      </c>
      <c r="E3" s="3" t="s">
        <v>13</v>
      </c>
    </row>
    <row r="4" spans="1:14" x14ac:dyDescent="0.25">
      <c r="A4" s="4" t="s">
        <v>6</v>
      </c>
      <c r="B4" s="4">
        <v>1</v>
      </c>
      <c r="C4" s="4" t="s">
        <v>1</v>
      </c>
      <c r="D4" s="3" t="s">
        <v>10</v>
      </c>
      <c r="E4" s="3" t="s">
        <v>14</v>
      </c>
    </row>
    <row r="6" spans="1:14" x14ac:dyDescent="0.25">
      <c r="A6" s="3" t="s">
        <v>0</v>
      </c>
      <c r="B6" s="3">
        <v>1</v>
      </c>
      <c r="C6" s="3" t="s">
        <v>39</v>
      </c>
      <c r="D6" s="3" t="s">
        <v>16</v>
      </c>
      <c r="E6" s="3" t="s">
        <v>21</v>
      </c>
    </row>
    <row r="7" spans="1:14" x14ac:dyDescent="0.25">
      <c r="A7" s="3" t="s">
        <v>2</v>
      </c>
      <c r="B7" s="3">
        <v>2</v>
      </c>
      <c r="C7" s="3" t="s">
        <v>1</v>
      </c>
      <c r="D7" s="3" t="s">
        <v>17</v>
      </c>
      <c r="E7" s="3" t="s">
        <v>22</v>
      </c>
    </row>
    <row r="8" spans="1:14" x14ac:dyDescent="0.25">
      <c r="A8" s="3" t="s">
        <v>20</v>
      </c>
      <c r="B8" s="3">
        <v>3</v>
      </c>
      <c r="C8" s="3" t="s">
        <v>5</v>
      </c>
      <c r="D8" s="3" t="s">
        <v>18</v>
      </c>
      <c r="E8" s="3" t="s">
        <v>23</v>
      </c>
    </row>
    <row r="9" spans="1:14" x14ac:dyDescent="0.25">
      <c r="A9" s="3" t="s">
        <v>6</v>
      </c>
      <c r="B9" s="3">
        <v>4</v>
      </c>
      <c r="C9" s="3" t="s">
        <v>3</v>
      </c>
      <c r="D9" s="3" t="s">
        <v>19</v>
      </c>
      <c r="E9" s="3" t="s">
        <v>24</v>
      </c>
    </row>
    <row r="10" spans="1:14" x14ac:dyDescent="0.25">
      <c r="N10" s="2"/>
    </row>
    <row r="11" spans="1:14" x14ac:dyDescent="0.25">
      <c r="N11" s="2"/>
    </row>
    <row r="12" spans="1:14" x14ac:dyDescent="0.25">
      <c r="N12" s="2"/>
    </row>
    <row r="13" spans="1:14" x14ac:dyDescent="0.25">
      <c r="N13" s="2"/>
    </row>
    <row r="14" spans="1:14" x14ac:dyDescent="0.25">
      <c r="N14" s="2"/>
    </row>
    <row r="15" spans="1:14" x14ac:dyDescent="0.25"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91-AC46-40C2-A9CF-C6935986898B}">
  <sheetPr codeName="Sheet2"/>
  <dimension ref="A1:N19"/>
  <sheetViews>
    <sheetView workbookViewId="0">
      <selection activeCell="E1" sqref="E1:E4"/>
    </sheetView>
  </sheetViews>
  <sheetFormatPr defaultRowHeight="15" x14ac:dyDescent="0.25"/>
  <cols>
    <col min="1" max="2" width="3" style="1" bestFit="1" customWidth="1"/>
    <col min="3" max="3" width="6" style="1" bestFit="1" customWidth="1"/>
    <col min="4" max="4" width="15.1640625" style="1" bestFit="1" customWidth="1"/>
    <col min="5" max="5" width="13.6640625" style="1" bestFit="1" customWidth="1"/>
    <col min="6" max="6" width="9.33203125" style="1"/>
    <col min="7" max="7" width="10.5" style="1" bestFit="1" customWidth="1"/>
    <col min="8" max="13" width="9.33203125" style="1"/>
    <col min="14" max="14" width="10.5" style="1" bestFit="1" customWidth="1"/>
    <col min="15" max="16384" width="9.33203125" style="1"/>
  </cols>
  <sheetData>
    <row r="1" spans="1:14" x14ac:dyDescent="0.25">
      <c r="A1" s="4" t="s">
        <v>0</v>
      </c>
      <c r="B1" s="4">
        <v>1</v>
      </c>
      <c r="C1" s="4" t="s">
        <v>1</v>
      </c>
      <c r="D1" s="3" t="s">
        <v>7</v>
      </c>
      <c r="E1" s="3" t="s">
        <v>11</v>
      </c>
    </row>
    <row r="2" spans="1:14" x14ac:dyDescent="0.25">
      <c r="A2" s="4" t="s">
        <v>2</v>
      </c>
      <c r="B2" s="4">
        <v>2</v>
      </c>
      <c r="C2" s="4" t="s">
        <v>3</v>
      </c>
      <c r="D2" s="3" t="s">
        <v>8</v>
      </c>
      <c r="E2" s="3" t="s">
        <v>12</v>
      </c>
    </row>
    <row r="3" spans="1:14" x14ac:dyDescent="0.25">
      <c r="A3" s="4" t="s">
        <v>4</v>
      </c>
      <c r="B3" s="4">
        <v>3</v>
      </c>
      <c r="C3" s="4" t="s">
        <v>5</v>
      </c>
      <c r="D3" s="3" t="s">
        <v>9</v>
      </c>
      <c r="E3" s="3" t="s">
        <v>13</v>
      </c>
    </row>
    <row r="4" spans="1:14" x14ac:dyDescent="0.25">
      <c r="A4" s="4" t="s">
        <v>6</v>
      </c>
      <c r="B4" s="4">
        <v>1</v>
      </c>
      <c r="C4" s="4" t="s">
        <v>1</v>
      </c>
      <c r="D4" s="3" t="s">
        <v>10</v>
      </c>
      <c r="E4" s="3" t="s">
        <v>14</v>
      </c>
    </row>
    <row r="5" spans="1:14" x14ac:dyDescent="0.25">
      <c r="G5" s="3"/>
    </row>
    <row r="6" spans="1:14" x14ac:dyDescent="0.25">
      <c r="A6" s="3" t="s">
        <v>0</v>
      </c>
      <c r="B6" s="3">
        <v>1</v>
      </c>
      <c r="C6" s="3" t="s">
        <v>15</v>
      </c>
      <c r="D6" s="3" t="s">
        <v>16</v>
      </c>
      <c r="E6" s="3" t="s">
        <v>21</v>
      </c>
      <c r="G6" s="3" t="s">
        <v>25</v>
      </c>
    </row>
    <row r="7" spans="1:14" x14ac:dyDescent="0.25">
      <c r="A7" s="3" t="s">
        <v>2</v>
      </c>
      <c r="B7" s="3">
        <v>2</v>
      </c>
      <c r="C7" s="3" t="s">
        <v>1</v>
      </c>
      <c r="D7" s="3" t="s">
        <v>17</v>
      </c>
      <c r="E7" s="3" t="s">
        <v>22</v>
      </c>
      <c r="G7" s="3" t="s">
        <v>26</v>
      </c>
    </row>
    <row r="8" spans="1:14" x14ac:dyDescent="0.25">
      <c r="A8" s="3" t="s">
        <v>20</v>
      </c>
      <c r="B8" s="3">
        <v>3</v>
      </c>
      <c r="C8" s="3" t="s">
        <v>5</v>
      </c>
      <c r="D8" s="3" t="s">
        <v>18</v>
      </c>
      <c r="E8" s="3" t="s">
        <v>23</v>
      </c>
      <c r="G8" s="3" t="s">
        <v>4</v>
      </c>
    </row>
    <row r="9" spans="1:14" x14ac:dyDescent="0.25">
      <c r="A9" s="3" t="s">
        <v>6</v>
      </c>
      <c r="B9" s="3">
        <v>4</v>
      </c>
      <c r="C9" s="3" t="s">
        <v>3</v>
      </c>
      <c r="D9" s="3" t="s">
        <v>19</v>
      </c>
      <c r="E9" s="3" t="s">
        <v>24</v>
      </c>
      <c r="G9" s="3">
        <v>1</v>
      </c>
    </row>
    <row r="10" spans="1:14" x14ac:dyDescent="0.25">
      <c r="N10" s="2"/>
    </row>
    <row r="11" spans="1:14" x14ac:dyDescent="0.25">
      <c r="N11" s="2"/>
    </row>
    <row r="12" spans="1:14" x14ac:dyDescent="0.25">
      <c r="N12" s="2"/>
    </row>
    <row r="13" spans="1:14" x14ac:dyDescent="0.25">
      <c r="N13" s="2"/>
    </row>
    <row r="14" spans="1:14" x14ac:dyDescent="0.25">
      <c r="N14" s="2"/>
    </row>
    <row r="15" spans="1:14" x14ac:dyDescent="0.25">
      <c r="N15" s="2"/>
    </row>
    <row r="16" spans="1:14" x14ac:dyDescent="0.25">
      <c r="N16" s="2"/>
    </row>
    <row r="17" spans="14:14" x14ac:dyDescent="0.25">
      <c r="N17" s="2"/>
    </row>
    <row r="18" spans="14:14" x14ac:dyDescent="0.25">
      <c r="N18" s="2"/>
    </row>
    <row r="19" spans="14:14" x14ac:dyDescent="0.25">
      <c r="N1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9A0B4-0FD0-4121-99BC-AF580902C443}">
  <dimension ref="A1:Y94"/>
  <sheetViews>
    <sheetView tabSelected="1" workbookViewId="0">
      <selection activeCell="C8" sqref="C8"/>
    </sheetView>
  </sheetViews>
  <sheetFormatPr defaultRowHeight="12.75" x14ac:dyDescent="0.2"/>
  <cols>
    <col min="1" max="1" width="21.6640625" bestFit="1" customWidth="1"/>
    <col min="3" max="3" width="21.6640625" bestFit="1" customWidth="1"/>
    <col min="5" max="5" width="11.83203125" bestFit="1" customWidth="1"/>
    <col min="7" max="7" width="15.1640625" bestFit="1" customWidth="1"/>
    <col min="9" max="9" width="20.1640625" bestFit="1" customWidth="1"/>
    <col min="11" max="11" width="13" customWidth="1"/>
    <col min="13" max="13" width="19.33203125" customWidth="1"/>
    <col min="15" max="15" width="11.83203125" bestFit="1" customWidth="1"/>
    <col min="19" max="19" width="16" bestFit="1" customWidth="1"/>
    <col min="21" max="21" width="21.6640625" bestFit="1" customWidth="1"/>
    <col min="23" max="23" width="16" bestFit="1" customWidth="1"/>
  </cols>
  <sheetData>
    <row r="1" spans="1:25" ht="13.5" x14ac:dyDescent="0.25">
      <c r="A1" s="6" t="s">
        <v>27</v>
      </c>
      <c r="B1" s="6"/>
      <c r="C1" s="6" t="s">
        <v>28</v>
      </c>
      <c r="D1" s="6"/>
      <c r="E1" s="6" t="s">
        <v>29</v>
      </c>
      <c r="F1" s="6"/>
      <c r="G1" s="6" t="s">
        <v>30</v>
      </c>
      <c r="H1" s="6"/>
      <c r="I1" s="6" t="s">
        <v>31</v>
      </c>
      <c r="J1" s="6"/>
      <c r="K1" s="6" t="s">
        <v>32</v>
      </c>
      <c r="L1" s="6"/>
      <c r="M1" s="6" t="s">
        <v>33</v>
      </c>
      <c r="N1" s="6"/>
      <c r="O1" s="6" t="s">
        <v>34</v>
      </c>
      <c r="P1" s="6"/>
      <c r="Q1" s="6" t="s">
        <v>35</v>
      </c>
      <c r="R1" s="6"/>
      <c r="S1" s="6" t="s">
        <v>36</v>
      </c>
      <c r="T1" s="6"/>
      <c r="V1" s="6"/>
      <c r="X1" s="5"/>
      <c r="Y1" s="5"/>
    </row>
    <row r="2" spans="1:25" ht="15" x14ac:dyDescent="0.25">
      <c r="A2" s="5" t="s">
        <v>40</v>
      </c>
      <c r="B2" s="5"/>
      <c r="C2" s="5" t="s">
        <v>44</v>
      </c>
      <c r="D2" s="5"/>
      <c r="E2" s="5">
        <v>1</v>
      </c>
      <c r="F2" s="5"/>
      <c r="G2" s="3" t="s">
        <v>7</v>
      </c>
      <c r="H2" s="5"/>
      <c r="I2" s="4" t="s">
        <v>47</v>
      </c>
      <c r="J2" s="5"/>
      <c r="K2" s="3" t="s">
        <v>11</v>
      </c>
      <c r="L2" s="5"/>
      <c r="M2" s="4">
        <f>33%*G2</f>
        <v>317935.75110000005</v>
      </c>
      <c r="N2" s="5"/>
      <c r="O2" s="4">
        <f>G2+I2+K2+M2*E2</f>
        <v>1304602.1411000001</v>
      </c>
      <c r="P2" s="5"/>
      <c r="Q2" s="4">
        <f>O2*6%</f>
        <v>78276.128466000009</v>
      </c>
      <c r="R2" s="5"/>
      <c r="S2" s="4">
        <f>O2+Q2</f>
        <v>1382878.2695660002</v>
      </c>
      <c r="T2" s="5"/>
      <c r="U2" s="5"/>
      <c r="V2" s="5"/>
      <c r="W2" s="5"/>
    </row>
    <row r="3" spans="1:25" ht="15" x14ac:dyDescent="0.25">
      <c r="A3" s="5" t="s">
        <v>41</v>
      </c>
      <c r="B3" s="5"/>
      <c r="C3" s="5" t="s">
        <v>45</v>
      </c>
      <c r="D3" s="5"/>
      <c r="E3" s="5">
        <v>2</v>
      </c>
      <c r="F3" s="5"/>
      <c r="G3" s="3" t="s">
        <v>8</v>
      </c>
      <c r="H3" s="5"/>
      <c r="I3" s="4" t="s">
        <v>48</v>
      </c>
      <c r="J3" s="5"/>
      <c r="K3" s="3" t="s">
        <v>12</v>
      </c>
      <c r="L3" s="5"/>
      <c r="M3" s="4">
        <f>25%*G3</f>
        <v>46880.06</v>
      </c>
      <c r="N3" s="5"/>
      <c r="O3" s="4">
        <f t="shared" ref="O3:O5" si="0">G3+I3+K3+M3*E3</f>
        <v>379035.05</v>
      </c>
      <c r="P3" s="5"/>
      <c r="Q3" s="4">
        <f t="shared" ref="Q3:Q5" si="1">O3*6%</f>
        <v>22742.102999999999</v>
      </c>
      <c r="R3" s="5"/>
      <c r="S3" s="4">
        <f t="shared" ref="S3:S5" si="2">O3+Q3</f>
        <v>401777.15299999999</v>
      </c>
      <c r="T3" s="5"/>
      <c r="U3" s="5"/>
      <c r="V3" s="5"/>
      <c r="W3" s="5"/>
    </row>
    <row r="4" spans="1:25" ht="15" x14ac:dyDescent="0.25">
      <c r="A4" s="5" t="s">
        <v>42</v>
      </c>
      <c r="B4" s="5"/>
      <c r="C4" s="5" t="s">
        <v>46</v>
      </c>
      <c r="D4" s="5"/>
      <c r="E4" s="5">
        <v>3</v>
      </c>
      <c r="F4" s="5"/>
      <c r="G4" s="3" t="s">
        <v>9</v>
      </c>
      <c r="H4" s="5"/>
      <c r="I4" s="4" t="s">
        <v>49</v>
      </c>
      <c r="J4" s="5"/>
      <c r="K4" s="3" t="s">
        <v>13</v>
      </c>
      <c r="L4" s="5"/>
      <c r="M4" s="4">
        <f>42.5%*G4</f>
        <v>259865.14074999999</v>
      </c>
      <c r="N4" s="5"/>
      <c r="O4" s="4">
        <f t="shared" si="0"/>
        <v>1396203.2722499999</v>
      </c>
      <c r="P4" s="5"/>
      <c r="Q4" s="4">
        <f t="shared" si="1"/>
        <v>83772.196334999986</v>
      </c>
      <c r="R4" s="5"/>
      <c r="S4" s="4">
        <f t="shared" si="2"/>
        <v>1479975.4685849999</v>
      </c>
      <c r="T4" s="5"/>
      <c r="U4" s="5"/>
      <c r="V4" s="5"/>
      <c r="W4" s="5"/>
    </row>
    <row r="5" spans="1:25" ht="15" x14ac:dyDescent="0.25">
      <c r="A5" s="5" t="s">
        <v>43</v>
      </c>
      <c r="B5" s="5"/>
      <c r="C5" s="5" t="s">
        <v>44</v>
      </c>
      <c r="D5" s="5"/>
      <c r="E5" s="5">
        <v>1</v>
      </c>
      <c r="F5" s="5"/>
      <c r="G5" s="3" t="s">
        <v>10</v>
      </c>
      <c r="H5" s="5"/>
      <c r="I5" s="4" t="s">
        <v>47</v>
      </c>
      <c r="J5" s="5"/>
      <c r="K5" s="3" t="s">
        <v>14</v>
      </c>
      <c r="L5" s="5"/>
      <c r="M5" s="4">
        <f>20%*G5</f>
        <v>59090.76</v>
      </c>
      <c r="N5" s="5"/>
      <c r="O5" s="4">
        <f t="shared" si="0"/>
        <v>392194.06</v>
      </c>
      <c r="P5" s="5"/>
      <c r="Q5" s="4">
        <f t="shared" si="1"/>
        <v>23531.643599999999</v>
      </c>
      <c r="R5" s="5"/>
      <c r="S5" s="4">
        <f t="shared" si="2"/>
        <v>415725.70360000001</v>
      </c>
      <c r="T5" s="5"/>
      <c r="U5" s="5"/>
      <c r="V5" s="5"/>
      <c r="W5" s="5"/>
    </row>
    <row r="6" spans="1:25" ht="13.5" x14ac:dyDescent="0.25">
      <c r="A6" s="5"/>
      <c r="B6" s="5"/>
      <c r="C6" s="5"/>
      <c r="D6" s="5"/>
      <c r="E6" s="5"/>
      <c r="F6" s="5"/>
      <c r="G6" s="5"/>
      <c r="H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5" ht="13.5" x14ac:dyDescent="0.25">
      <c r="A7" s="6" t="s">
        <v>37</v>
      </c>
      <c r="B7" s="5"/>
      <c r="C7" s="6" t="s">
        <v>38</v>
      </c>
      <c r="D7" s="5"/>
      <c r="E7" s="5"/>
      <c r="F7" s="5"/>
      <c r="G7" s="5"/>
      <c r="H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5" ht="13.5" x14ac:dyDescent="0.25">
      <c r="A8" s="4">
        <v>4</v>
      </c>
      <c r="B8" s="5"/>
      <c r="C8" s="4">
        <f>SUM(S2:S5)</f>
        <v>3680356.5947509999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5" ht="13.5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5" ht="13.5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5" ht="13.5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5" ht="13.5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5" ht="13.5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5" ht="13.5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5" ht="13.5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5" ht="13.5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3.5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ht="13.5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ht="13.5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ht="13.5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ht="13.5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3.5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3.5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ht="13.5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ht="13.5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ht="13.5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t="13.5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3.5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ht="13.5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ht="13.5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ht="13.5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ht="13.5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ht="13.5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ht="13.5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ht="13.5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ht="13.5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ht="13.5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ht="13.5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ht="13.5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ht="13.5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ht="13.5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ht="13.5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ht="13.5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ht="13.5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ht="13.5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ht="13.5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ht="13.5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ht="13.5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ht="13.5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ht="13.5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ht="13.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ht="13.5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ht="13.5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ht="13.5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ht="13.5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ht="13.5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ht="13.5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ht="13.5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ht="13.5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ht="13.5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ht="13.5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ht="13.5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ht="13.5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ht="13.5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ht="13.5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ht="13.5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ht="13.5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ht="13.5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ht="13.5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ht="13.5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ht="13.5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ht="13.5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ht="13.5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ht="13.5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ht="13.5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ht="13.5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ht="13.5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ht="13.5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ht="13.5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ht="13.5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ht="13.5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ht="13.5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ht="13.5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ht="13.5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ht="13.5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ht="13.5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ht="13.5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ht="13.5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ht="13.5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ht="13.5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ht="13.5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ht="13.5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ht="13.5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ht="13.5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</sheetData>
  <pageMargins left="0.7" right="0.7" top="0.75" bottom="0.75" header="0.3" footer="0.3"/>
  <pageSetup orientation="portrait" horizontalDpi="4294967295" verticalDpi="4294967295" r:id="rId1"/>
</worksheet>
</file>

<file path=customUI/customUI14.xml><?xml version="1.0" encoding="utf-8"?>
<!-- This code was created by David Freer -->
<!-- All rights are reserved and this code may not be resold (copyright 2017)-->
<customUI xmlns="http://schemas.microsoft.com/office/2009/07/customui" xmlns:ch="QA_HELPER" onLoad="Ribbon_Load">
  <ribbon>
    <tabs>
      <tab id="CTAB_QA_HELPER" label="QA Helper" insertAfterMso="TabDeveloper" keytip="QA">
        <group id="Group_Misc">
          <button id="Btn_About" label="About" size="large" onAction="RunAction" imageMso="Info" screentip="About QA Helper"/>
        </group>
        <group id="Group_Data" label="Data">
          <button id="Btn_InsertDataWizard" label="Insert Wizard" size="large" onAction="RunAction" imageMso="BusinessFormWizard" screentip="Insert data using the QA data wizard"/>
        </group>
        <group id="Group_DataAnalysis" label="Data Analysis">
          <box id="box" boxStyle="horizontal">
            <labelControl id="Lbl_Filler1" label="Cell Character Count:"/>
            <labelControl id="Lbl_CellCharCount" getLabel="GetLabel"/>
          </box>
          <box id="box2" boxStyle="horizontal">
            <labelControl id="Lbl_Filler2" label="Row Character Total:"/>
            <labelControl id="Lbl_RowCharCount" getLabel="GetLabel"/>
          </box>
          <box id="box3" boxStyle="horizontal">
            <labelControl id="Lbl_Filler3" label="Selection Character Total:"/>
            <labelControl id="Lbl_SelectionCharCount" getLabel="GetLabel"/>
          </box>
          <dialogBoxLauncher>
            <button id="Btn_CharacterCountInfo" onAction="RunAction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Valid&amp;InValid</vt:lpstr>
      <vt:lpstr>Validation</vt:lpstr>
      <vt:lpstr>Expected outcome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2013-01-17T18:07:16Z</cp:lastPrinted>
  <dcterms:created xsi:type="dcterms:W3CDTF">2002-10-19T01:29:57Z</dcterms:created>
  <dcterms:modified xsi:type="dcterms:W3CDTF">2018-01-23T20:09:21Z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ession Revision Number">
    <vt:lpwstr>251</vt:lpwstr>
  </property>
  <property fmtid="{D5CDD505-2E9C-101B-9397-08002B2CF9AE}" pid="3" name="Fresh Open">
    <vt:lpwstr>0</vt:lpwstr>
  </property>
  <property fmtid="{D5CDD505-2E9C-101B-9397-08002B2CF9AE}" pid="4" name="Revision Number">
    <vt:lpwstr>9</vt:lpwstr>
  </property>
</Properties>
</file>
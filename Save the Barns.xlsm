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572294d83c54c7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A\"/>
    </mc:Choice>
  </mc:AlternateContent>
  <bookViews>
    <workbookView xWindow="600" yWindow="240" windowWidth="13935" windowHeight="8385" xr2:uid="{00000000-000D-0000-FFFF-FFFF00000000}"/>
  </bookViews>
  <sheets>
    <sheet name="Input" sheetId="10" r:id="rId1"/>
    <sheet name="expected outcomes" sheetId="12" r:id="rId2"/>
  </sheets>
  <definedNames>
    <definedName name="_xlnm._FilterDatabase" localSheetId="1" hidden="1">'expected outcomes'!#REF!</definedName>
  </definedNames>
  <calcPr calcId="171027"/>
</workbook>
</file>

<file path=xl/calcChain.xml><?xml version="1.0" encoding="utf-8"?>
<calcChain xmlns="http://schemas.openxmlformats.org/spreadsheetml/2006/main">
  <c r="H5" i="12" l="1"/>
  <c r="H6" i="12"/>
  <c r="H7" i="12"/>
  <c r="H8" i="12"/>
  <c r="H9" i="12"/>
  <c r="H10" i="12"/>
  <c r="H11" i="12"/>
  <c r="H12" i="12"/>
  <c r="H13" i="12"/>
  <c r="H14" i="12"/>
  <c r="H15" i="12"/>
  <c r="H4" i="12"/>
</calcChain>
</file>

<file path=xl/sharedStrings.xml><?xml version="1.0" encoding="utf-8"?>
<sst xmlns="http://schemas.openxmlformats.org/spreadsheetml/2006/main" count="177" uniqueCount="134">
  <si>
    <t xml:space="preserve">Lane                     </t>
  </si>
  <si>
    <t xml:space="preserve">Price                    </t>
  </si>
  <si>
    <t xml:space="preserve">Rice                     </t>
  </si>
  <si>
    <t xml:space="preserve">Burns                    </t>
  </si>
  <si>
    <t xml:space="preserve">Lucas                    </t>
  </si>
  <si>
    <t xml:space="preserve">Tate                     </t>
  </si>
  <si>
    <t xml:space="preserve">Mendez                   </t>
  </si>
  <si>
    <t xml:space="preserve">Chan                     </t>
  </si>
  <si>
    <t xml:space="preserve">Wilkins                  </t>
  </si>
  <si>
    <t xml:space="preserve">Larson                   </t>
  </si>
  <si>
    <t xml:space="preserve">Terry                    </t>
  </si>
  <si>
    <t xml:space="preserve">Wang                     </t>
  </si>
  <si>
    <t xml:space="preserve">Hayes                    </t>
  </si>
  <si>
    <t xml:space="preserve">Burnett                  </t>
  </si>
  <si>
    <t xml:space="preserve">Fernandez                </t>
  </si>
  <si>
    <t xml:space="preserve">Bruce                    </t>
  </si>
  <si>
    <t xml:space="preserve">Wade                     </t>
  </si>
  <si>
    <t xml:space="preserve">Ramos                    </t>
  </si>
  <si>
    <t xml:space="preserve">Caldwell                 </t>
  </si>
  <si>
    <t xml:space="preserve">Cook                     </t>
  </si>
  <si>
    <t xml:space="preserve">4523 Roberts Road Goshen </t>
  </si>
  <si>
    <t>7108 Clinton Street Torri</t>
  </si>
  <si>
    <t>1206 Center Street Virden</t>
  </si>
  <si>
    <t>4941 Sherwood Drive Lewis</t>
  </si>
  <si>
    <t>7001 Adams Avenue Hollywo</t>
  </si>
  <si>
    <t>1421 Pin Oak Drive Ketchi</t>
  </si>
  <si>
    <t>0645 Monroe Street Pensac</t>
  </si>
  <si>
    <t>9947 Lawrence Street Orla</t>
  </si>
  <si>
    <t>0471 Depot Street Florenc</t>
  </si>
  <si>
    <t>3181 Morris Street Fort V</t>
  </si>
  <si>
    <t>2272 Cambridge Road Eufau</t>
  </si>
  <si>
    <t>2898 Summit Street Rantou</t>
  </si>
  <si>
    <t>7748 River Street Carroll</t>
  </si>
  <si>
    <t>1306 George Street Rogers</t>
  </si>
  <si>
    <t>3573 Elm Street Claremont</t>
  </si>
  <si>
    <t>0638 Fairway Drive Stonin</t>
  </si>
  <si>
    <t xml:space="preserve">9458 Academy Street Fort </t>
  </si>
  <si>
    <t>3813 Garden Street Downey</t>
  </si>
  <si>
    <t>3357 Hamilton Street Jasp</t>
  </si>
  <si>
    <t>2726 Hillcrest Drive Moun</t>
  </si>
  <si>
    <t xml:space="preserve">Plains         </t>
  </si>
  <si>
    <t xml:space="preserve">Cairo          </t>
  </si>
  <si>
    <t xml:space="preserve">Greenville     </t>
  </si>
  <si>
    <t xml:space="preserve">Lebanon        </t>
  </si>
  <si>
    <t xml:space="preserve">Lahaina        </t>
  </si>
  <si>
    <t xml:space="preserve">Selma          </t>
  </si>
  <si>
    <t xml:space="preserve">Torrance       </t>
  </si>
  <si>
    <t xml:space="preserve">Georgetown     </t>
  </si>
  <si>
    <t xml:space="preserve">Scottsboro     </t>
  </si>
  <si>
    <t>FresnoFullerton</t>
  </si>
  <si>
    <t xml:space="preserve">Titusville     </t>
  </si>
  <si>
    <t xml:space="preserve">Troy           </t>
  </si>
  <si>
    <t xml:space="preserve">West Covina    </t>
  </si>
  <si>
    <t xml:space="preserve">Homer          </t>
  </si>
  <si>
    <t xml:space="preserve">Cahokia        </t>
  </si>
  <si>
    <t xml:space="preserve">River Forest   </t>
  </si>
  <si>
    <t xml:space="preserve">White Springs  </t>
  </si>
  <si>
    <t xml:space="preserve">Lakeland       </t>
  </si>
  <si>
    <t xml:space="preserve">Talladega      </t>
  </si>
  <si>
    <t xml:space="preserve">Simsbury       </t>
  </si>
  <si>
    <t>Ma</t>
  </si>
  <si>
    <t>Te</t>
  </si>
  <si>
    <t>Mi</t>
  </si>
  <si>
    <t>Ok</t>
  </si>
  <si>
    <t>Ne</t>
  </si>
  <si>
    <t>Ut</t>
  </si>
  <si>
    <t>Or</t>
  </si>
  <si>
    <t>Co</t>
  </si>
  <si>
    <t>Ha</t>
  </si>
  <si>
    <t>Pu</t>
  </si>
  <si>
    <t>No</t>
  </si>
  <si>
    <t>Ar</t>
  </si>
  <si>
    <t>71156</t>
  </si>
  <si>
    <t>08928</t>
  </si>
  <si>
    <t>76276</t>
  </si>
  <si>
    <t>90165</t>
  </si>
  <si>
    <t>21999</t>
  </si>
  <si>
    <t>91025</t>
  </si>
  <si>
    <t>26194</t>
  </si>
  <si>
    <t>73411</t>
  </si>
  <si>
    <t>52553</t>
  </si>
  <si>
    <t>39822</t>
  </si>
  <si>
    <t>10926</t>
  </si>
  <si>
    <t>99140</t>
  </si>
  <si>
    <t>88052</t>
  </si>
  <si>
    <t>84181</t>
  </si>
  <si>
    <t>93049</t>
  </si>
  <si>
    <t>43956</t>
  </si>
  <si>
    <t>11819</t>
  </si>
  <si>
    <t>09943</t>
  </si>
  <si>
    <t>80093</t>
  </si>
  <si>
    <t>34829</t>
  </si>
  <si>
    <t>R</t>
  </si>
  <si>
    <t>I</t>
  </si>
  <si>
    <t>D</t>
  </si>
  <si>
    <t>F</t>
  </si>
  <si>
    <t>M</t>
  </si>
  <si>
    <t>8629.75</t>
  </si>
  <si>
    <t>3702.50</t>
  </si>
  <si>
    <t>7597.40</t>
  </si>
  <si>
    <t>8840.66</t>
  </si>
  <si>
    <t>2218.01</t>
  </si>
  <si>
    <t>9556.01</t>
  </si>
  <si>
    <t>6110.44</t>
  </si>
  <si>
    <t>4518.80</t>
  </si>
  <si>
    <t>1075.89</t>
  </si>
  <si>
    <t>2910.81</t>
  </si>
  <si>
    <t>4015.16</t>
  </si>
  <si>
    <t>5123.13</t>
  </si>
  <si>
    <t>7519.79</t>
  </si>
  <si>
    <t>3684.98</t>
  </si>
  <si>
    <t>8144.14</t>
  </si>
  <si>
    <t>3834.87</t>
  </si>
  <si>
    <t>7526.42</t>
  </si>
  <si>
    <t>7581.23</t>
  </si>
  <si>
    <t>6462.86</t>
  </si>
  <si>
    <t>4938.83</t>
  </si>
  <si>
    <t>Record Count</t>
  </si>
  <si>
    <t>Overall</t>
  </si>
  <si>
    <t>Grouping</t>
  </si>
  <si>
    <t>Independent Men</t>
  </si>
  <si>
    <t>Republican Women</t>
  </si>
  <si>
    <t>Republican Men</t>
  </si>
  <si>
    <t>Democratic Woman</t>
  </si>
  <si>
    <t>Democratic Men</t>
  </si>
  <si>
    <t>Independents</t>
  </si>
  <si>
    <t xml:space="preserve">Republicans </t>
  </si>
  <si>
    <t>Democrats</t>
  </si>
  <si>
    <t>Female</t>
  </si>
  <si>
    <t>Men</t>
  </si>
  <si>
    <t>Total Contribution</t>
  </si>
  <si>
    <t>Independent Women</t>
  </si>
  <si>
    <t>Average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</si>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</sst>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0"/>
      <name val="Arial Narrow"/>
    </font>
    <font>
      <sz val="12"/>
      <name val="Arial Narrow"/>
      <family val="2"/>
    </font>
    <font>
      <u/>
      <sz val="11"/>
      <color theme="10"/>
      <name val="Arial Narrow"/>
      <family val="2"/>
    </font>
    <font>
      <sz val="1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</cellStyleXfs>
  <cellXfs count="7">
    <xf numFmtId="0" fontId="0" fillId="0" borderId="0" xfId="0"/>
    <xf numFmtId="0" fontId="3" fillId="0" borderId="0" xfId="0" applyFont="1"/>
    <xf numFmtId="0" fontId="3" fillId="0" borderId="0" xfId="0" applyNumberFormat="1" applyFont="1"/>
    <xf numFmtId="49" fontId="3" fillId="0" borderId="0" xfId="0" applyNumberFormat="1" applyFont="1"/>
    <xf numFmtId="164" fontId="3" fillId="0" borderId="0" xfId="0" applyNumberFormat="1" applyFont="1"/>
    <xf numFmtId="0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</cellXfs>
  <cellStyles count="5">
    <cellStyle name="Hyperlink 2" xfId="3" xr:uid="{00000000-0005-0000-0000-000000000000}"/>
    <cellStyle name="Normal" xfId="0" builtinId="0"/>
    <cellStyle name="Normal 2" xfId="1" xr:uid="{00000000-0005-0000-0000-000002000000}"/>
    <cellStyle name="Normal 2 2" xfId="4" xr:uid="{00000000-0005-0000-0000-000003000000}"/>
    <cellStyle name="Normal 2 3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"/>
  <sheetViews>
    <sheetView tabSelected="1" topLeftCell="A10" workbookViewId="0">
      <selection activeCell="A23" sqref="A23"/>
    </sheetView>
  </sheetViews>
  <sheetFormatPr defaultRowHeight="15" x14ac:dyDescent="0.25"/>
  <cols>
    <col min="1" max="2" width="40.1640625" style="1" bestFit="1" customWidth="1"/>
    <col min="3" max="3" width="24.5" style="1" bestFit="1" customWidth="1"/>
    <col min="4" max="4" width="4.5" style="1" bestFit="1" customWidth="1"/>
    <col min="5" max="5" width="9" style="1" bestFit="1" customWidth="1"/>
    <col min="6" max="7" width="3" style="1" bestFit="1" customWidth="1"/>
    <col min="8" max="8" width="12" style="1" bestFit="1" customWidth="1"/>
    <col min="9" max="9" width="9" style="1" bestFit="1" customWidth="1"/>
    <col min="10" max="13" width="9.33203125" style="1"/>
    <col min="14" max="14" width="10.5" style="1" bestFit="1" customWidth="1"/>
    <col min="15" max="16384" width="9.33203125" style="1"/>
  </cols>
  <sheetData>
    <row r="1" spans="1:14" x14ac:dyDescent="0.25">
      <c r="A1" s="3" t="s">
        <v>15</v>
      </c>
      <c r="B1" s="3" t="s">
        <v>35</v>
      </c>
      <c r="C1" s="3" t="s">
        <v>55</v>
      </c>
      <c r="D1" s="3" t="s">
        <v>70</v>
      </c>
      <c r="E1" s="3" t="s">
        <v>80</v>
      </c>
      <c r="F1" s="3" t="s">
        <v>93</v>
      </c>
      <c r="G1" s="3" t="s">
        <v>95</v>
      </c>
      <c r="H1" s="3" t="s">
        <v>105</v>
      </c>
      <c r="I1" s="3"/>
    </row>
    <row r="2" spans="1:14" x14ac:dyDescent="0.25">
      <c r="A2" s="3" t="s">
        <v>13</v>
      </c>
      <c r="B2" s="3" t="s">
        <v>33</v>
      </c>
      <c r="C2" s="3" t="s">
        <v>53</v>
      </c>
      <c r="D2" s="3" t="s">
        <v>62</v>
      </c>
      <c r="E2" s="3" t="s">
        <v>87</v>
      </c>
      <c r="F2" s="3" t="s">
        <v>94</v>
      </c>
      <c r="G2" s="3" t="s">
        <v>95</v>
      </c>
      <c r="H2" s="3" t="s">
        <v>112</v>
      </c>
      <c r="I2" s="3"/>
    </row>
    <row r="3" spans="1:14" x14ac:dyDescent="0.25">
      <c r="A3" s="3" t="s">
        <v>3</v>
      </c>
      <c r="B3" s="3" t="s">
        <v>23</v>
      </c>
      <c r="C3" s="3" t="s">
        <v>43</v>
      </c>
      <c r="D3" s="3" t="s">
        <v>63</v>
      </c>
      <c r="E3" s="3" t="s">
        <v>78</v>
      </c>
      <c r="F3" s="3" t="s">
        <v>93</v>
      </c>
      <c r="G3" s="3" t="s">
        <v>96</v>
      </c>
      <c r="H3" s="3" t="s">
        <v>103</v>
      </c>
      <c r="I3" s="3"/>
    </row>
    <row r="4" spans="1:14" x14ac:dyDescent="0.25">
      <c r="A4" s="3" t="s">
        <v>18</v>
      </c>
      <c r="B4" s="3" t="s">
        <v>38</v>
      </c>
      <c r="C4" s="3" t="s">
        <v>58</v>
      </c>
      <c r="D4" s="3" t="s">
        <v>71</v>
      </c>
      <c r="E4" s="3" t="s">
        <v>74</v>
      </c>
      <c r="F4" s="3" t="s">
        <v>92</v>
      </c>
      <c r="G4" s="3" t="s">
        <v>95</v>
      </c>
      <c r="H4" s="3" t="s">
        <v>99</v>
      </c>
      <c r="I4" s="3"/>
    </row>
    <row r="5" spans="1:14" x14ac:dyDescent="0.25">
      <c r="A5" s="3" t="s">
        <v>7</v>
      </c>
      <c r="B5" s="3" t="s">
        <v>27</v>
      </c>
      <c r="C5" s="3" t="s">
        <v>47</v>
      </c>
      <c r="D5" s="3" t="s">
        <v>67</v>
      </c>
      <c r="E5" s="3" t="s">
        <v>85</v>
      </c>
      <c r="F5" s="3" t="s">
        <v>94</v>
      </c>
      <c r="G5" s="3" t="s">
        <v>95</v>
      </c>
      <c r="H5" s="3" t="s">
        <v>110</v>
      </c>
      <c r="I5" s="3"/>
    </row>
    <row r="6" spans="1:14" x14ac:dyDescent="0.25">
      <c r="A6" s="3" t="s">
        <v>19</v>
      </c>
      <c r="B6" s="3" t="s">
        <v>39</v>
      </c>
      <c r="C6" s="3" t="s">
        <v>59</v>
      </c>
      <c r="D6" s="3" t="s">
        <v>70</v>
      </c>
      <c r="E6" s="3" t="s">
        <v>77</v>
      </c>
      <c r="F6" s="3" t="s">
        <v>94</v>
      </c>
      <c r="G6" s="3" t="s">
        <v>96</v>
      </c>
      <c r="H6" s="3" t="s">
        <v>102</v>
      </c>
      <c r="I6" s="3"/>
    </row>
    <row r="7" spans="1:14" x14ac:dyDescent="0.25">
      <c r="A7" s="3" t="s">
        <v>14</v>
      </c>
      <c r="B7" s="3" t="s">
        <v>34</v>
      </c>
      <c r="C7" s="3" t="s">
        <v>54</v>
      </c>
      <c r="D7" s="3" t="s">
        <v>69</v>
      </c>
      <c r="E7" s="3" t="s">
        <v>82</v>
      </c>
      <c r="F7" s="3" t="s">
        <v>94</v>
      </c>
      <c r="G7" s="3" t="s">
        <v>96</v>
      </c>
      <c r="H7" s="3" t="s">
        <v>107</v>
      </c>
      <c r="I7" s="3"/>
    </row>
    <row r="8" spans="1:14" x14ac:dyDescent="0.25">
      <c r="A8" s="3" t="s">
        <v>12</v>
      </c>
      <c r="B8" s="3" t="s">
        <v>32</v>
      </c>
      <c r="C8" s="3" t="s">
        <v>52</v>
      </c>
      <c r="D8" s="3" t="s">
        <v>64</v>
      </c>
      <c r="E8" s="3" t="s">
        <v>91</v>
      </c>
      <c r="F8" s="3" t="s">
        <v>92</v>
      </c>
      <c r="G8" s="3" t="s">
        <v>96</v>
      </c>
      <c r="H8" s="3" t="s">
        <v>116</v>
      </c>
      <c r="I8" s="3"/>
    </row>
    <row r="9" spans="1:14" x14ac:dyDescent="0.25">
      <c r="A9" s="3" t="s">
        <v>0</v>
      </c>
      <c r="B9" s="3" t="s">
        <v>20</v>
      </c>
      <c r="C9" s="3" t="s">
        <v>40</v>
      </c>
      <c r="D9" s="3" t="s">
        <v>60</v>
      </c>
      <c r="E9" s="3" t="s">
        <v>83</v>
      </c>
      <c r="F9" s="3" t="s">
        <v>93</v>
      </c>
      <c r="G9" s="3" t="s">
        <v>95</v>
      </c>
      <c r="H9" s="3" t="s">
        <v>108</v>
      </c>
      <c r="I9" s="3"/>
    </row>
    <row r="10" spans="1:14" x14ac:dyDescent="0.25">
      <c r="A10" s="3" t="s">
        <v>9</v>
      </c>
      <c r="B10" s="3" t="s">
        <v>29</v>
      </c>
      <c r="C10" s="3" t="s">
        <v>49</v>
      </c>
      <c r="D10" s="3" t="s">
        <v>66</v>
      </c>
      <c r="E10" s="3" t="s">
        <v>81</v>
      </c>
      <c r="F10" s="3" t="s">
        <v>93</v>
      </c>
      <c r="G10" s="3" t="s">
        <v>96</v>
      </c>
      <c r="H10" s="3" t="s">
        <v>106</v>
      </c>
      <c r="I10" s="3"/>
      <c r="N10" s="2"/>
    </row>
    <row r="11" spans="1:14" x14ac:dyDescent="0.25">
      <c r="A11" s="3" t="s">
        <v>4</v>
      </c>
      <c r="B11" s="3" t="s">
        <v>24</v>
      </c>
      <c r="C11" s="3" t="s">
        <v>44</v>
      </c>
      <c r="D11" s="3" t="s">
        <v>64</v>
      </c>
      <c r="E11" s="3" t="s">
        <v>90</v>
      </c>
      <c r="F11" s="3" t="s">
        <v>92</v>
      </c>
      <c r="G11" s="3" t="s">
        <v>96</v>
      </c>
      <c r="H11" s="3" t="s">
        <v>115</v>
      </c>
      <c r="I11" s="3"/>
      <c r="N11" s="2"/>
    </row>
    <row r="12" spans="1:14" x14ac:dyDescent="0.25">
      <c r="A12" s="3" t="s">
        <v>6</v>
      </c>
      <c r="B12" s="3" t="s">
        <v>26</v>
      </c>
      <c r="C12" s="3" t="s">
        <v>46</v>
      </c>
      <c r="D12" s="3" t="s">
        <v>66</v>
      </c>
      <c r="E12" s="3" t="s">
        <v>86</v>
      </c>
      <c r="F12" s="3" t="s">
        <v>94</v>
      </c>
      <c r="G12" s="3" t="s">
        <v>95</v>
      </c>
      <c r="H12" s="3" t="s">
        <v>111</v>
      </c>
      <c r="I12" s="3"/>
      <c r="N12" s="2"/>
    </row>
    <row r="13" spans="1:14" x14ac:dyDescent="0.25">
      <c r="A13" s="3" t="s">
        <v>1</v>
      </c>
      <c r="B13" s="3" t="s">
        <v>21</v>
      </c>
      <c r="C13" s="3" t="s">
        <v>41</v>
      </c>
      <c r="D13" s="3" t="s">
        <v>61</v>
      </c>
      <c r="E13" s="3" t="s">
        <v>89</v>
      </c>
      <c r="F13" s="3" t="s">
        <v>94</v>
      </c>
      <c r="G13" s="3" t="s">
        <v>95</v>
      </c>
      <c r="H13" s="3" t="s">
        <v>114</v>
      </c>
      <c r="I13" s="3"/>
      <c r="N13" s="2"/>
    </row>
    <row r="14" spans="1:14" x14ac:dyDescent="0.25">
      <c r="A14" s="3" t="s">
        <v>17</v>
      </c>
      <c r="B14" s="3" t="s">
        <v>37</v>
      </c>
      <c r="C14" s="3" t="s">
        <v>57</v>
      </c>
      <c r="D14" s="3" t="s">
        <v>70</v>
      </c>
      <c r="E14" s="3" t="s">
        <v>72</v>
      </c>
      <c r="F14" s="3" t="s">
        <v>92</v>
      </c>
      <c r="G14" s="3" t="s">
        <v>95</v>
      </c>
      <c r="H14" s="3" t="s">
        <v>97</v>
      </c>
      <c r="I14" s="3"/>
      <c r="N14" s="2"/>
    </row>
    <row r="15" spans="1:14" x14ac:dyDescent="0.25">
      <c r="A15" s="3" t="s">
        <v>2</v>
      </c>
      <c r="B15" s="3" t="s">
        <v>22</v>
      </c>
      <c r="C15" s="3" t="s">
        <v>42</v>
      </c>
      <c r="D15" s="3" t="s">
        <v>62</v>
      </c>
      <c r="E15" s="3" t="s">
        <v>75</v>
      </c>
      <c r="F15" s="3" t="s">
        <v>93</v>
      </c>
      <c r="G15" s="3" t="s">
        <v>95</v>
      </c>
      <c r="H15" s="3" t="s">
        <v>100</v>
      </c>
      <c r="I15" s="3"/>
      <c r="N15" s="2"/>
    </row>
    <row r="16" spans="1:14" x14ac:dyDescent="0.25">
      <c r="A16" s="3" t="s">
        <v>5</v>
      </c>
      <c r="B16" s="3" t="s">
        <v>25</v>
      </c>
      <c r="C16" s="3" t="s">
        <v>45</v>
      </c>
      <c r="D16" s="3" t="s">
        <v>65</v>
      </c>
      <c r="E16" s="3" t="s">
        <v>76</v>
      </c>
      <c r="F16" s="3" t="s">
        <v>93</v>
      </c>
      <c r="G16" s="3" t="s">
        <v>95</v>
      </c>
      <c r="H16" s="3" t="s">
        <v>101</v>
      </c>
      <c r="I16" s="3"/>
      <c r="N16" s="2"/>
    </row>
    <row r="17" spans="1:14" x14ac:dyDescent="0.25">
      <c r="A17" s="3" t="s">
        <v>10</v>
      </c>
      <c r="B17" s="3" t="s">
        <v>30</v>
      </c>
      <c r="C17" s="3" t="s">
        <v>50</v>
      </c>
      <c r="D17" s="3" t="s">
        <v>68</v>
      </c>
      <c r="E17" s="3" t="s">
        <v>73</v>
      </c>
      <c r="F17" s="3" t="s">
        <v>93</v>
      </c>
      <c r="G17" s="3" t="s">
        <v>96</v>
      </c>
      <c r="H17" s="3" t="s">
        <v>98</v>
      </c>
      <c r="I17" s="3"/>
      <c r="N17" s="2"/>
    </row>
    <row r="18" spans="1:14" x14ac:dyDescent="0.25">
      <c r="A18" s="3" t="s">
        <v>16</v>
      </c>
      <c r="B18" s="3" t="s">
        <v>36</v>
      </c>
      <c r="C18" s="3" t="s">
        <v>56</v>
      </c>
      <c r="D18" s="3" t="s">
        <v>69</v>
      </c>
      <c r="E18" s="3" t="s">
        <v>84</v>
      </c>
      <c r="F18" s="3" t="s">
        <v>92</v>
      </c>
      <c r="G18" s="3" t="s">
        <v>95</v>
      </c>
      <c r="H18" s="3" t="s">
        <v>109</v>
      </c>
      <c r="I18" s="3"/>
      <c r="N18" s="2"/>
    </row>
    <row r="19" spans="1:14" x14ac:dyDescent="0.25">
      <c r="A19" s="3" t="s">
        <v>11</v>
      </c>
      <c r="B19" s="3" t="s">
        <v>31</v>
      </c>
      <c r="C19" s="3" t="s">
        <v>51</v>
      </c>
      <c r="D19" s="3" t="s">
        <v>62</v>
      </c>
      <c r="E19" s="3" t="s">
        <v>88</v>
      </c>
      <c r="F19" s="3" t="s">
        <v>94</v>
      </c>
      <c r="G19" s="3" t="s">
        <v>96</v>
      </c>
      <c r="H19" s="3" t="s">
        <v>113</v>
      </c>
      <c r="I19" s="3"/>
      <c r="N19" s="2"/>
    </row>
    <row r="20" spans="1:14" x14ac:dyDescent="0.25">
      <c r="A20" s="3" t="s">
        <v>8</v>
      </c>
      <c r="B20" s="3" t="s">
        <v>28</v>
      </c>
      <c r="C20" s="3" t="s">
        <v>48</v>
      </c>
      <c r="D20" s="3" t="s">
        <v>62</v>
      </c>
      <c r="E20" s="3" t="s">
        <v>79</v>
      </c>
      <c r="F20" s="3" t="s">
        <v>94</v>
      </c>
      <c r="G20" s="3" t="s">
        <v>95</v>
      </c>
      <c r="H20" s="3" t="s">
        <v>104</v>
      </c>
      <c r="I20" s="3"/>
    </row>
  </sheetData>
  <sortState ref="A1:D20">
    <sortCondition ref="A1:A20"/>
    <sortCondition ref="B1:B20"/>
    <sortCondition ref="C1:C20"/>
    <sortCondition ref="D1:D20"/>
  </sortState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E7582-0F08-4236-805F-31C89F3599D5}">
  <sheetPr codeName="Sheet2"/>
  <dimension ref="B2:H15"/>
  <sheetViews>
    <sheetView workbookViewId="0">
      <selection activeCell="J12" sqref="J12"/>
    </sheetView>
  </sheetViews>
  <sheetFormatPr defaultRowHeight="15" x14ac:dyDescent="0.25"/>
  <cols>
    <col min="1" max="2" width="40.1640625" style="1" bestFit="1" customWidth="1"/>
    <col min="3" max="3" width="24.5" style="1" bestFit="1" customWidth="1"/>
    <col min="4" max="4" width="19.83203125" style="1" bestFit="1" customWidth="1"/>
    <col min="5" max="5" width="12" style="1" bestFit="1" customWidth="1"/>
    <col min="6" max="6" width="33.83203125" style="1" bestFit="1" customWidth="1"/>
    <col min="7" max="7" width="6" style="1" bestFit="1" customWidth="1"/>
    <col min="8" max="8" width="19.83203125" style="1" bestFit="1" customWidth="1"/>
    <col min="9" max="9" width="9" style="1" bestFit="1" customWidth="1"/>
    <col min="10" max="10" width="13.6640625" style="1" bestFit="1" customWidth="1"/>
    <col min="11" max="13" width="9.33203125" style="1"/>
    <col min="14" max="14" width="10.5" style="1" bestFit="1" customWidth="1"/>
    <col min="15" max="16384" width="9.33203125" style="1"/>
  </cols>
  <sheetData>
    <row r="2" spans="2:8" x14ac:dyDescent="0.25">
      <c r="B2" s="1" t="s">
        <v>119</v>
      </c>
      <c r="D2" s="1" t="s">
        <v>117</v>
      </c>
      <c r="F2" s="1" t="s">
        <v>130</v>
      </c>
      <c r="H2" s="1" t="s">
        <v>132</v>
      </c>
    </row>
    <row r="3" spans="2:8" x14ac:dyDescent="0.25">
      <c r="H3" s="4"/>
    </row>
    <row r="4" spans="2:8" x14ac:dyDescent="0.25">
      <c r="B4" s="1" t="s">
        <v>129</v>
      </c>
      <c r="D4" s="5">
        <v>8</v>
      </c>
      <c r="F4" s="6">
        <v>45223.03</v>
      </c>
      <c r="H4" s="4">
        <f>F4/D4</f>
        <v>5652.8787499999999</v>
      </c>
    </row>
    <row r="5" spans="2:8" x14ac:dyDescent="0.25">
      <c r="B5" s="1" t="s">
        <v>128</v>
      </c>
      <c r="D5" s="3">
        <v>12</v>
      </c>
      <c r="F5" s="6">
        <v>68768.649999999994</v>
      </c>
      <c r="H5" s="4">
        <f t="shared" ref="H5:H15" si="0">F5/D5</f>
        <v>5730.7208333333328</v>
      </c>
    </row>
    <row r="6" spans="2:8" x14ac:dyDescent="0.25">
      <c r="B6" s="1" t="s">
        <v>127</v>
      </c>
      <c r="D6" s="3">
        <v>8</v>
      </c>
      <c r="F6" s="6">
        <v>48861.61</v>
      </c>
      <c r="H6" s="4">
        <f t="shared" si="0"/>
        <v>6107.7012500000001</v>
      </c>
    </row>
    <row r="7" spans="2:8" x14ac:dyDescent="0.25">
      <c r="B7" s="1" t="s">
        <v>126</v>
      </c>
      <c r="D7" s="3">
        <v>5</v>
      </c>
      <c r="F7" s="6">
        <v>35148.629999999997</v>
      </c>
      <c r="H7" s="4">
        <f t="shared" si="0"/>
        <v>7029.7259999999997</v>
      </c>
    </row>
    <row r="8" spans="2:8" x14ac:dyDescent="0.25">
      <c r="B8" s="1" t="s">
        <v>125</v>
      </c>
      <c r="D8" s="3">
        <v>7</v>
      </c>
      <c r="F8" s="6">
        <v>29981.439999999999</v>
      </c>
      <c r="H8" s="4">
        <f t="shared" si="0"/>
        <v>4283.062857142857</v>
      </c>
    </row>
    <row r="9" spans="2:8" x14ac:dyDescent="0.25">
      <c r="B9" s="1" t="s">
        <v>124</v>
      </c>
      <c r="D9" s="3">
        <v>3</v>
      </c>
      <c r="F9" s="6">
        <v>17723</v>
      </c>
      <c r="H9" s="4">
        <f t="shared" si="0"/>
        <v>5907.666666666667</v>
      </c>
    </row>
    <row r="10" spans="2:8" x14ac:dyDescent="0.25">
      <c r="B10" s="1" t="s">
        <v>123</v>
      </c>
      <c r="D10" s="3">
        <v>5</v>
      </c>
      <c r="F10" s="6">
        <v>23090.58</v>
      </c>
      <c r="H10" s="4">
        <f t="shared" si="0"/>
        <v>4618.116</v>
      </c>
    </row>
    <row r="11" spans="2:8" x14ac:dyDescent="0.25">
      <c r="B11" s="1" t="s">
        <v>122</v>
      </c>
      <c r="D11" s="3">
        <v>2</v>
      </c>
      <c r="F11" s="6">
        <v>11222.29</v>
      </c>
      <c r="H11" s="4">
        <f t="shared" si="0"/>
        <v>5611.1450000000004</v>
      </c>
    </row>
    <row r="12" spans="2:8" x14ac:dyDescent="0.25">
      <c r="B12" s="1" t="s">
        <v>121</v>
      </c>
      <c r="D12" s="3">
        <v>3</v>
      </c>
      <c r="F12" s="6">
        <v>12045.22</v>
      </c>
      <c r="H12" s="4">
        <f t="shared" si="0"/>
        <v>4015.0733333333333</v>
      </c>
    </row>
    <row r="13" spans="2:8" x14ac:dyDescent="0.25">
      <c r="B13" s="1" t="s">
        <v>120</v>
      </c>
      <c r="D13" s="3">
        <v>3</v>
      </c>
      <c r="F13" s="6">
        <v>19895.61</v>
      </c>
      <c r="H13" s="4">
        <f t="shared" si="0"/>
        <v>6631.87</v>
      </c>
    </row>
    <row r="14" spans="2:8" x14ac:dyDescent="0.25">
      <c r="B14" s="1" t="s">
        <v>131</v>
      </c>
      <c r="D14" s="3">
        <v>4</v>
      </c>
      <c r="F14" s="6">
        <v>27796.97</v>
      </c>
      <c r="H14" s="4">
        <f t="shared" si="0"/>
        <v>6949.2425000000003</v>
      </c>
    </row>
    <row r="15" spans="2:8" x14ac:dyDescent="0.25">
      <c r="B15" s="1" t="s">
        <v>118</v>
      </c>
      <c r="D15" s="3" t="s">
        <v>133</v>
      </c>
      <c r="F15" s="6">
        <v>113991.67999999999</v>
      </c>
      <c r="H15" s="4">
        <f t="shared" si="0"/>
        <v>5699.5839999999998</v>
      </c>
    </row>
  </sheetData>
  <pageMargins left="0.7" right="0.7" top="0.75" bottom="0.75" header="0.3" footer="0.3"/>
  <pageSetup orientation="portrait" horizontalDpi="4294967295" verticalDpi="4294967295" r:id="rId1"/>
</worksheet>
</file>

<file path=customUI/customUI14.xml><?xml version="1.0" encoding="utf-8"?>
<!-- This code was created by David Freer -->
<!-- All rights are reserved and this code may not be resold (copyright 2017)-->
<customUI xmlns="http://schemas.microsoft.com/office/2009/07/customui" xmlns:ch="QA_HELPER" onLoad="Ribbon_Load">
  <ribbon>
    <tabs>
      <tab id="CTAB_QA_HELPER" label="QA Helper" insertAfterMso="TabDeveloper" keytip="QA">
        <group id="Group_Misc">
          <button id="Btn_About" label="About" size="large" onAction="RunAction" imageMso="Info" screentip="About QA Helper"/>
        </group>
        <group id="Group_Data" label="Data">
          <button id="Btn_InsertDataWizard" label="Insert Wizard" size="large" onAction="RunAction" imageMso="BusinessFormWizard" screentip="Insert data using the QA data wizard"/>
        </group>
        <group id="Group_DataAnalysis" label="Data Analysis">
          <box id="box" boxStyle="horizontal">
            <labelControl id="Lbl_Filler1" label="Cell Character Count:"/>
            <labelControl id="Lbl_CellCharCount" getLabel="GetLabel"/>
          </box>
          <box id="box2" boxStyle="horizontal">
            <labelControl id="Lbl_Filler2" label="Row Character Total:"/>
            <labelControl id="Lbl_RowCharCount" getLabel="GetLabel"/>
          </box>
          <box id="box3" boxStyle="horizontal">
            <labelControl id="Lbl_Filler3" label="Selection Character Total:"/>
            <labelControl id="Lbl_SelectionCharCount" getLabel="GetLabel"/>
          </box>
          <dialogBoxLauncher>
            <button id="Btn_CharacterCountInfo" onAction="Ru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expected outcomes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2013-01-17T18:07:16Z</cp:lastPrinted>
  <dcterms:created xsi:type="dcterms:W3CDTF">2002-10-19T01:29:57Z</dcterms:created>
  <dcterms:modified xsi:type="dcterms:W3CDTF">2018-01-17T15:20:09Z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ssion Revision Number">
    <vt:lpwstr>251</vt:lpwstr>
  </property>
  <property fmtid="{D5CDD505-2E9C-101B-9397-08002B2CF9AE}" pid="3" name="Fresh Open">
    <vt:lpwstr>0</vt:lpwstr>
  </property>
  <property fmtid="{D5CDD505-2E9C-101B-9397-08002B2CF9AE}" pid="4" name="Revision Number">
    <vt:lpwstr>9</vt:lpwstr>
  </property>
</Properties>
</file>
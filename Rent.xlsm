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f572294d83c54c77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827" codeName="{37B6ACAC-4A07-160E-37E0-EFA003358AD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QA\"/>
    </mc:Choice>
  </mc:AlternateContent>
  <bookViews>
    <workbookView xWindow="600" yWindow="240" windowWidth="13935" windowHeight="8385" activeTab="1" xr2:uid="{00000000-000D-0000-FFFF-FFFF00000000}"/>
  </bookViews>
  <sheets>
    <sheet name="Raw Data" sheetId="10" r:id="rId1"/>
    <sheet name="Sheet1" sheetId="11" r:id="rId2"/>
  </sheets>
  <calcPr calcId="171027"/>
</workbook>
</file>

<file path=xl/calcChain.xml><?xml version="1.0" encoding="utf-8"?>
<calcChain xmlns="http://schemas.openxmlformats.org/spreadsheetml/2006/main">
  <c r="AV7" i="11" l="1"/>
  <c r="AQ7" i="11"/>
  <c r="AQ5" i="11"/>
  <c r="AQ3" i="11"/>
  <c r="AV5" i="11" l="1"/>
  <c r="X5" i="11"/>
  <c r="N7" i="11"/>
  <c r="N5" i="11"/>
  <c r="X3" i="11"/>
  <c r="N3" i="11"/>
  <c r="AV3" i="11"/>
</calcChain>
</file>

<file path=xl/sharedStrings.xml><?xml version="1.0" encoding="utf-8"?>
<sst xmlns="http://schemas.openxmlformats.org/spreadsheetml/2006/main" count="256" uniqueCount="201">
  <si>
    <t>01</t>
  </si>
  <si>
    <t>AA</t>
  </si>
  <si>
    <t>35105</t>
  </si>
  <si>
    <t>64081</t>
  </si>
  <si>
    <t>41250</t>
  </si>
  <si>
    <t>90081</t>
  </si>
  <si>
    <t>GG</t>
  </si>
  <si>
    <t>02</t>
  </si>
  <si>
    <t>2</t>
  </si>
  <si>
    <t>35106</t>
  </si>
  <si>
    <t>64082</t>
  </si>
  <si>
    <t>41251</t>
  </si>
  <si>
    <t>90082</t>
  </si>
  <si>
    <t>PP</t>
  </si>
  <si>
    <t>1</t>
  </si>
  <si>
    <t>35107</t>
  </si>
  <si>
    <t>64083</t>
  </si>
  <si>
    <t>41252</t>
  </si>
  <si>
    <t>90083</t>
  </si>
  <si>
    <t>35108</t>
  </si>
  <si>
    <t>64084</t>
  </si>
  <si>
    <t>41253</t>
  </si>
  <si>
    <t>90084</t>
  </si>
  <si>
    <t>3</t>
  </si>
  <si>
    <t>35109</t>
  </si>
  <si>
    <t>64085</t>
  </si>
  <si>
    <t>41254</t>
  </si>
  <si>
    <t>90085</t>
  </si>
  <si>
    <t>IA</t>
  </si>
  <si>
    <t>07</t>
  </si>
  <si>
    <t>35110</t>
  </si>
  <si>
    <t>64086</t>
  </si>
  <si>
    <t>41255</t>
  </si>
  <si>
    <t>90086</t>
  </si>
  <si>
    <t>05</t>
  </si>
  <si>
    <t>35111</t>
  </si>
  <si>
    <t>64087</t>
  </si>
  <si>
    <t>41256</t>
  </si>
  <si>
    <t>90087</t>
  </si>
  <si>
    <t>08</t>
  </si>
  <si>
    <t>35112</t>
  </si>
  <si>
    <t>64088</t>
  </si>
  <si>
    <t>41257</t>
  </si>
  <si>
    <t>90088</t>
  </si>
  <si>
    <t>MS</t>
  </si>
  <si>
    <t>35113</t>
  </si>
  <si>
    <t>64089</t>
  </si>
  <si>
    <t>41258</t>
  </si>
  <si>
    <t>90089</t>
  </si>
  <si>
    <t>HH</t>
  </si>
  <si>
    <t>09</t>
  </si>
  <si>
    <t>35114</t>
  </si>
  <si>
    <t>64090</t>
  </si>
  <si>
    <t>41259</t>
  </si>
  <si>
    <t>90090</t>
  </si>
  <si>
    <t>R7</t>
  </si>
  <si>
    <t>35115</t>
  </si>
  <si>
    <t>64091</t>
  </si>
  <si>
    <t>41260</t>
  </si>
  <si>
    <t>90091</t>
  </si>
  <si>
    <t>11</t>
  </si>
  <si>
    <t>35116</t>
  </si>
  <si>
    <t>64092</t>
  </si>
  <si>
    <t>41261</t>
  </si>
  <si>
    <t>90092</t>
  </si>
  <si>
    <t>16</t>
  </si>
  <si>
    <t>8</t>
  </si>
  <si>
    <t>35117</t>
  </si>
  <si>
    <t>64093</t>
  </si>
  <si>
    <t>41262</t>
  </si>
  <si>
    <t>90093</t>
  </si>
  <si>
    <t>GM</t>
  </si>
  <si>
    <t>17</t>
  </si>
  <si>
    <t>9</t>
  </si>
  <si>
    <t>35118</t>
  </si>
  <si>
    <t>64094</t>
  </si>
  <si>
    <t>41263</t>
  </si>
  <si>
    <t>90094</t>
  </si>
  <si>
    <t>BP</t>
  </si>
  <si>
    <t>10</t>
  </si>
  <si>
    <t>35119</t>
  </si>
  <si>
    <t>64095</t>
  </si>
  <si>
    <t>41264</t>
  </si>
  <si>
    <t>90095</t>
  </si>
  <si>
    <t>Bp</t>
  </si>
  <si>
    <t>35120</t>
  </si>
  <si>
    <t>64096</t>
  </si>
  <si>
    <t>41265</t>
  </si>
  <si>
    <t>90096</t>
  </si>
  <si>
    <t>19</t>
  </si>
  <si>
    <t>35121</t>
  </si>
  <si>
    <t>64097</t>
  </si>
  <si>
    <t>41266</t>
  </si>
  <si>
    <t>90097</t>
  </si>
  <si>
    <t>GA</t>
  </si>
  <si>
    <t>35122</t>
  </si>
  <si>
    <t>64098</t>
  </si>
  <si>
    <t>41267</t>
  </si>
  <si>
    <t>90098</t>
  </si>
  <si>
    <t>JK</t>
  </si>
  <si>
    <t>12</t>
  </si>
  <si>
    <t>5</t>
  </si>
  <si>
    <t>13</t>
  </si>
  <si>
    <t>14</t>
  </si>
  <si>
    <t>6</t>
  </si>
  <si>
    <t>7</t>
  </si>
  <si>
    <t>35123</t>
  </si>
  <si>
    <t>35124</t>
  </si>
  <si>
    <t>35125</t>
  </si>
  <si>
    <t>64099</t>
  </si>
  <si>
    <t>64100</t>
  </si>
  <si>
    <t>64101</t>
  </si>
  <si>
    <t>41268</t>
  </si>
  <si>
    <t>41269</t>
  </si>
  <si>
    <t>41270</t>
  </si>
  <si>
    <t>90099</t>
  </si>
  <si>
    <t>90100</t>
  </si>
  <si>
    <t>90101</t>
  </si>
  <si>
    <t>UN</t>
  </si>
  <si>
    <t>35126</t>
  </si>
  <si>
    <t>64102</t>
  </si>
  <si>
    <t>41271</t>
  </si>
  <si>
    <t>90102</t>
  </si>
  <si>
    <t>YD</t>
  </si>
  <si>
    <t>35127</t>
  </si>
  <si>
    <t>64103</t>
  </si>
  <si>
    <t>41272</t>
  </si>
  <si>
    <t>90103</t>
  </si>
  <si>
    <t>YT</t>
  </si>
  <si>
    <t>25</t>
  </si>
  <si>
    <t>35128</t>
  </si>
  <si>
    <t>64104</t>
  </si>
  <si>
    <t>41273</t>
  </si>
  <si>
    <t>90104</t>
  </si>
  <si>
    <t>35129</t>
  </si>
  <si>
    <t>64105</t>
  </si>
  <si>
    <t>41274</t>
  </si>
  <si>
    <t>90105</t>
  </si>
  <si>
    <t>35130</t>
  </si>
  <si>
    <t>64106</t>
  </si>
  <si>
    <t>41275</t>
  </si>
  <si>
    <t>90106</t>
  </si>
  <si>
    <t>CP</t>
  </si>
  <si>
    <t>35131</t>
  </si>
  <si>
    <t>64107</t>
  </si>
  <si>
    <t>41276</t>
  </si>
  <si>
    <t>90107</t>
  </si>
  <si>
    <t>NZ</t>
  </si>
  <si>
    <t>03</t>
  </si>
  <si>
    <t>35132</t>
  </si>
  <si>
    <t>64108</t>
  </si>
  <si>
    <t>41277</t>
  </si>
  <si>
    <t>90108</t>
  </si>
  <si>
    <t>04</t>
  </si>
  <si>
    <t>CT</t>
  </si>
  <si>
    <t>35133</t>
  </si>
  <si>
    <t>35134</t>
  </si>
  <si>
    <t>64109</t>
  </si>
  <si>
    <t>64110</t>
  </si>
  <si>
    <t>41278</t>
  </si>
  <si>
    <t>41279</t>
  </si>
  <si>
    <t>90109</t>
  </si>
  <si>
    <t>90110</t>
  </si>
  <si>
    <t>35135</t>
  </si>
  <si>
    <t>64111</t>
  </si>
  <si>
    <t>41280</t>
  </si>
  <si>
    <t>90111</t>
  </si>
  <si>
    <t>VV</t>
  </si>
  <si>
    <t>4</t>
  </si>
  <si>
    <t>35136</t>
  </si>
  <si>
    <t>64112</t>
  </si>
  <si>
    <t>41281</t>
  </si>
  <si>
    <t>90112</t>
  </si>
  <si>
    <t>YS</t>
  </si>
  <si>
    <t>35137</t>
  </si>
  <si>
    <t>64113</t>
  </si>
  <si>
    <t>41282</t>
  </si>
  <si>
    <t>90113</t>
  </si>
  <si>
    <t>ME</t>
  </si>
  <si>
    <t>35138</t>
  </si>
  <si>
    <t>64114</t>
  </si>
  <si>
    <t>41283</t>
  </si>
  <si>
    <t>90114</t>
  </si>
  <si>
    <t>Rental Building</t>
  </si>
  <si>
    <t>Unit</t>
  </si>
  <si>
    <t>Rent Base</t>
  </si>
  <si>
    <t>Tenant Number</t>
  </si>
  <si>
    <t>Premium/Discount</t>
  </si>
  <si>
    <t>SubTotal</t>
  </si>
  <si>
    <t>Tenant Charge</t>
  </si>
  <si>
    <t>Electric</t>
  </si>
  <si>
    <t>Gas</t>
  </si>
  <si>
    <t>Water</t>
  </si>
  <si>
    <t>Garbage</t>
  </si>
  <si>
    <t>Total Utilities</t>
  </si>
  <si>
    <t>Rent Due</t>
  </si>
  <si>
    <t xml:space="preserve">Palace place </t>
  </si>
  <si>
    <t>Georgia</t>
  </si>
  <si>
    <t>Park Place</t>
  </si>
  <si>
    <t>=G7+N7</t>
  </si>
  <si>
    <t>Park place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</si>
</sst>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 Narrow"/>
    </font>
    <font>
      <sz val="12"/>
      <name val="Arial Narrow"/>
      <family val="2"/>
    </font>
    <font>
      <u/>
      <sz val="11"/>
      <color theme="10"/>
      <name val="Arial Narrow"/>
      <family val="2"/>
    </font>
    <font>
      <sz val="11"/>
      <name val="Courier New"/>
      <family val="3"/>
    </font>
    <font>
      <sz val="10"/>
      <name val="Courier New"/>
      <family val="3"/>
    </font>
    <font>
      <sz val="10"/>
      <name val="Arial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/>
    <xf numFmtId="0" fontId="1" fillId="0" borderId="0"/>
    <xf numFmtId="0" fontId="2" fillId="0" borderId="0" applyNumberFormat="0" applyFill="0" applyBorder="0" applyAlignment="0" applyProtection="0"/>
    <xf numFmtId="0" fontId="1" fillId="0" borderId="0"/>
  </cellStyleXfs>
  <cellXfs count="8">
    <xf numFmtId="0" fontId="0" fillId="0" borderId="0" xfId="0"/>
    <xf numFmtId="0" fontId="3" fillId="0" borderId="0" xfId="0" applyFont="1"/>
    <xf numFmtId="0" fontId="3" fillId="0" borderId="0" xfId="0" applyNumberFormat="1" applyFont="1"/>
    <xf numFmtId="49" fontId="3" fillId="0" borderId="0" xfId="0" applyNumberFormat="1" applyFont="1"/>
    <xf numFmtId="0" fontId="4" fillId="0" borderId="0" xfId="0" applyFont="1"/>
    <xf numFmtId="0" fontId="5" fillId="0" borderId="0" xfId="0" applyFont="1"/>
    <xf numFmtId="49" fontId="0" fillId="0" borderId="0" xfId="0" applyNumberFormat="1"/>
    <xf numFmtId="49" fontId="5" fillId="0" borderId="0" xfId="0" applyNumberFormat="1" applyFont="1"/>
  </cellXfs>
  <cellStyles count="5">
    <cellStyle name="Hyperlink 2" xfId="3" xr:uid="{00000000-0005-0000-0000-000000000000}"/>
    <cellStyle name="Normal" xfId="0" builtinId="0"/>
    <cellStyle name="Normal 2" xfId="1" xr:uid="{00000000-0005-0000-0000-000002000000}"/>
    <cellStyle name="Normal 2 2" xfId="4" xr:uid="{00000000-0005-0000-0000-000003000000}"/>
    <cellStyle name="Normal 2 3" xfId="2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34"/>
  <sheetViews>
    <sheetView workbookViewId="0">
      <selection activeCell="G3" sqref="G3"/>
    </sheetView>
  </sheetViews>
  <sheetFormatPr defaultRowHeight="15" x14ac:dyDescent="0.25"/>
  <cols>
    <col min="1" max="1" width="4.5" style="1" bestFit="1" customWidth="1"/>
    <col min="2" max="3" width="9.33203125" style="1"/>
    <col min="4" max="7" width="9" style="1" bestFit="1" customWidth="1"/>
    <col min="8" max="8" width="9.33203125" style="1"/>
    <col min="9" max="9" width="21.33203125" style="1" bestFit="1" customWidth="1"/>
    <col min="10" max="10" width="9.33203125" style="1"/>
    <col min="11" max="11" width="26.1640625" style="1" bestFit="1" customWidth="1"/>
    <col min="12" max="12" width="9.33203125" style="1"/>
    <col min="13" max="13" width="13.6640625" style="1" bestFit="1" customWidth="1"/>
    <col min="14" max="14" width="10.5" style="1" bestFit="1" customWidth="1"/>
    <col min="15" max="15" width="16.6640625" style="1" bestFit="1" customWidth="1"/>
    <col min="16" max="20" width="9.33203125" style="1"/>
    <col min="21" max="21" width="12" style="1" bestFit="1" customWidth="1"/>
    <col min="22" max="22" width="9.33203125" style="1"/>
    <col min="23" max="23" width="26.1640625" style="1" bestFit="1" customWidth="1"/>
    <col min="24" max="24" width="9.33203125" style="1"/>
    <col min="25" max="25" width="13.6640625" style="1" bestFit="1" customWidth="1"/>
    <col min="26" max="16384" width="9.33203125" style="1"/>
  </cols>
  <sheetData>
    <row r="1" spans="1:14" x14ac:dyDescent="0.25">
      <c r="A1" s="1" t="s">
        <v>1</v>
      </c>
      <c r="B1" s="3" t="s">
        <v>0</v>
      </c>
      <c r="C1" s="3">
        <v>1</v>
      </c>
      <c r="D1" s="3" t="s">
        <v>2</v>
      </c>
      <c r="E1" s="3" t="s">
        <v>3</v>
      </c>
      <c r="F1" s="3" t="s">
        <v>4</v>
      </c>
      <c r="G1" s="3" t="s">
        <v>5</v>
      </c>
    </row>
    <row r="2" spans="1:14" x14ac:dyDescent="0.25">
      <c r="A2" s="1" t="s">
        <v>6</v>
      </c>
      <c r="B2" s="3" t="s">
        <v>7</v>
      </c>
      <c r="C2" s="3" t="s">
        <v>8</v>
      </c>
      <c r="D2" s="3" t="s">
        <v>9</v>
      </c>
      <c r="E2" s="3" t="s">
        <v>10</v>
      </c>
      <c r="F2" s="3" t="s">
        <v>11</v>
      </c>
      <c r="G2" s="3" t="s">
        <v>12</v>
      </c>
    </row>
    <row r="3" spans="1:14" x14ac:dyDescent="0.25">
      <c r="A3" s="1" t="s">
        <v>13</v>
      </c>
      <c r="B3" s="3">
        <v>23</v>
      </c>
      <c r="C3" s="3" t="s">
        <v>14</v>
      </c>
      <c r="D3" s="3" t="s">
        <v>15</v>
      </c>
      <c r="E3" s="3" t="s">
        <v>16</v>
      </c>
      <c r="F3" s="3" t="s">
        <v>17</v>
      </c>
      <c r="G3" s="3" t="s">
        <v>18</v>
      </c>
    </row>
    <row r="4" spans="1:14" x14ac:dyDescent="0.25">
      <c r="A4" s="1" t="s">
        <v>13</v>
      </c>
      <c r="B4" s="3">
        <v>24</v>
      </c>
      <c r="C4" s="3">
        <v>5</v>
      </c>
      <c r="D4" s="3" t="s">
        <v>19</v>
      </c>
      <c r="E4" s="3" t="s">
        <v>20</v>
      </c>
      <c r="F4" s="3" t="s">
        <v>21</v>
      </c>
      <c r="G4" s="3" t="s">
        <v>22</v>
      </c>
    </row>
    <row r="5" spans="1:14" x14ac:dyDescent="0.25">
      <c r="A5" s="1" t="s">
        <v>13</v>
      </c>
      <c r="B5" s="3">
        <v>25</v>
      </c>
      <c r="C5" s="3" t="s">
        <v>23</v>
      </c>
      <c r="D5" s="3" t="s">
        <v>24</v>
      </c>
      <c r="E5" s="3" t="s">
        <v>25</v>
      </c>
      <c r="F5" s="3" t="s">
        <v>26</v>
      </c>
      <c r="G5" s="3" t="s">
        <v>27</v>
      </c>
    </row>
    <row r="6" spans="1:14" x14ac:dyDescent="0.25">
      <c r="A6" s="1" t="s">
        <v>28</v>
      </c>
      <c r="B6" s="3" t="s">
        <v>29</v>
      </c>
      <c r="C6" s="3">
        <v>5</v>
      </c>
      <c r="D6" s="3" t="s">
        <v>30</v>
      </c>
      <c r="E6" s="3" t="s">
        <v>31</v>
      </c>
      <c r="F6" s="3" t="s">
        <v>32</v>
      </c>
      <c r="G6" s="3" t="s">
        <v>33</v>
      </c>
    </row>
    <row r="7" spans="1:14" x14ac:dyDescent="0.25">
      <c r="A7" s="1" t="s">
        <v>28</v>
      </c>
      <c r="B7" s="3" t="s">
        <v>34</v>
      </c>
      <c r="C7" s="3">
        <v>2</v>
      </c>
      <c r="D7" s="3" t="s">
        <v>35</v>
      </c>
      <c r="E7" s="3" t="s">
        <v>36</v>
      </c>
      <c r="F7" s="3" t="s">
        <v>37</v>
      </c>
      <c r="G7" s="3" t="s">
        <v>38</v>
      </c>
    </row>
    <row r="8" spans="1:14" x14ac:dyDescent="0.25">
      <c r="A8" s="1" t="s">
        <v>28</v>
      </c>
      <c r="B8" s="3" t="s">
        <v>39</v>
      </c>
      <c r="C8" s="3">
        <v>1</v>
      </c>
      <c r="D8" s="3" t="s">
        <v>40</v>
      </c>
      <c r="E8" s="3" t="s">
        <v>41</v>
      </c>
      <c r="F8" s="3" t="s">
        <v>42</v>
      </c>
      <c r="G8" s="3" t="s">
        <v>43</v>
      </c>
    </row>
    <row r="9" spans="1:14" x14ac:dyDescent="0.25">
      <c r="A9" s="1" t="s">
        <v>44</v>
      </c>
      <c r="B9" s="3">
        <v>20</v>
      </c>
      <c r="C9" s="3">
        <v>7</v>
      </c>
      <c r="D9" s="3" t="s">
        <v>45</v>
      </c>
      <c r="E9" s="3" t="s">
        <v>46</v>
      </c>
      <c r="F9" s="3" t="s">
        <v>47</v>
      </c>
      <c r="G9" s="3" t="s">
        <v>48</v>
      </c>
    </row>
    <row r="10" spans="1:14" x14ac:dyDescent="0.25">
      <c r="A10" s="1" t="s">
        <v>49</v>
      </c>
      <c r="B10" s="3" t="s">
        <v>50</v>
      </c>
      <c r="C10" s="3">
        <v>10</v>
      </c>
      <c r="D10" s="3" t="s">
        <v>51</v>
      </c>
      <c r="E10" s="3" t="s">
        <v>52</v>
      </c>
      <c r="F10" s="3" t="s">
        <v>53</v>
      </c>
      <c r="G10" s="3" t="s">
        <v>54</v>
      </c>
      <c r="N10" s="2"/>
    </row>
    <row r="11" spans="1:14" x14ac:dyDescent="0.25">
      <c r="A11" s="1" t="s">
        <v>55</v>
      </c>
      <c r="B11" s="3">
        <v>10</v>
      </c>
      <c r="C11" s="3">
        <v>3</v>
      </c>
      <c r="D11" s="3" t="s">
        <v>56</v>
      </c>
      <c r="E11" s="3" t="s">
        <v>57</v>
      </c>
      <c r="F11" s="3" t="s">
        <v>58</v>
      </c>
      <c r="G11" s="3" t="s">
        <v>59</v>
      </c>
      <c r="N11" s="2"/>
    </row>
    <row r="12" spans="1:14" x14ac:dyDescent="0.25">
      <c r="A12" s="1" t="s">
        <v>55</v>
      </c>
      <c r="B12" s="3" t="s">
        <v>60</v>
      </c>
      <c r="C12" s="3" t="s">
        <v>14</v>
      </c>
      <c r="D12" s="3" t="s">
        <v>61</v>
      </c>
      <c r="E12" s="3" t="s">
        <v>62</v>
      </c>
      <c r="F12" s="3" t="s">
        <v>63</v>
      </c>
      <c r="G12" s="3" t="s">
        <v>64</v>
      </c>
      <c r="N12" s="2"/>
    </row>
    <row r="13" spans="1:14" x14ac:dyDescent="0.25">
      <c r="A13" s="1" t="s">
        <v>55</v>
      </c>
      <c r="B13" s="3" t="s">
        <v>65</v>
      </c>
      <c r="C13" s="3" t="s">
        <v>66</v>
      </c>
      <c r="D13" s="3" t="s">
        <v>67</v>
      </c>
      <c r="E13" s="3" t="s">
        <v>68</v>
      </c>
      <c r="F13" s="3" t="s">
        <v>69</v>
      </c>
      <c r="G13" s="3" t="s">
        <v>70</v>
      </c>
      <c r="N13" s="2"/>
    </row>
    <row r="14" spans="1:14" x14ac:dyDescent="0.25">
      <c r="A14" s="1" t="s">
        <v>71</v>
      </c>
      <c r="B14" s="3" t="s">
        <v>72</v>
      </c>
      <c r="C14" s="3" t="s">
        <v>73</v>
      </c>
      <c r="D14" s="3" t="s">
        <v>74</v>
      </c>
      <c r="E14" s="3" t="s">
        <v>75</v>
      </c>
      <c r="F14" s="3" t="s">
        <v>76</v>
      </c>
      <c r="G14" s="3" t="s">
        <v>77</v>
      </c>
      <c r="N14" s="2"/>
    </row>
    <row r="15" spans="1:14" x14ac:dyDescent="0.25">
      <c r="A15" s="1" t="s">
        <v>78</v>
      </c>
      <c r="B15" s="3" t="s">
        <v>50</v>
      </c>
      <c r="C15" s="3" t="s">
        <v>79</v>
      </c>
      <c r="D15" s="3" t="s">
        <v>80</v>
      </c>
      <c r="E15" s="3" t="s">
        <v>81</v>
      </c>
      <c r="F15" s="3" t="s">
        <v>82</v>
      </c>
      <c r="G15" s="3" t="s">
        <v>83</v>
      </c>
      <c r="N15" s="2"/>
    </row>
    <row r="16" spans="1:14" x14ac:dyDescent="0.25">
      <c r="A16" s="1" t="s">
        <v>78</v>
      </c>
      <c r="B16" s="3" t="s">
        <v>65</v>
      </c>
      <c r="C16" s="3" t="s">
        <v>60</v>
      </c>
      <c r="D16" s="3" t="s">
        <v>85</v>
      </c>
      <c r="E16" s="3" t="s">
        <v>86</v>
      </c>
      <c r="F16" s="3" t="s">
        <v>87</v>
      </c>
      <c r="G16" s="3" t="s">
        <v>88</v>
      </c>
      <c r="N16" s="2"/>
    </row>
    <row r="17" spans="1:14" x14ac:dyDescent="0.25">
      <c r="A17" s="1" t="s">
        <v>84</v>
      </c>
      <c r="B17" s="3">
        <v>17</v>
      </c>
      <c r="C17" s="3" t="s">
        <v>89</v>
      </c>
      <c r="D17" s="3" t="s">
        <v>90</v>
      </c>
      <c r="E17" s="3" t="s">
        <v>91</v>
      </c>
      <c r="F17" s="3" t="s">
        <v>92</v>
      </c>
      <c r="G17" s="3" t="s">
        <v>93</v>
      </c>
      <c r="N17" s="2"/>
    </row>
    <row r="18" spans="1:14" x14ac:dyDescent="0.25">
      <c r="A18" s="1" t="s">
        <v>94</v>
      </c>
      <c r="B18" s="3" t="s">
        <v>0</v>
      </c>
      <c r="C18" s="3" t="s">
        <v>23</v>
      </c>
      <c r="D18" s="3" t="s">
        <v>95</v>
      </c>
      <c r="E18" s="3" t="s">
        <v>96</v>
      </c>
      <c r="F18" s="3" t="s">
        <v>97</v>
      </c>
      <c r="G18" s="3" t="s">
        <v>98</v>
      </c>
      <c r="N18" s="2"/>
    </row>
    <row r="19" spans="1:14" x14ac:dyDescent="0.25">
      <c r="A19" s="3" t="s">
        <v>99</v>
      </c>
      <c r="B19" s="3" t="s">
        <v>100</v>
      </c>
      <c r="C19" s="3" t="s">
        <v>101</v>
      </c>
      <c r="D19" s="3" t="s">
        <v>106</v>
      </c>
      <c r="E19" s="3" t="s">
        <v>109</v>
      </c>
      <c r="F19" s="3" t="s">
        <v>112</v>
      </c>
      <c r="G19" s="3" t="s">
        <v>115</v>
      </c>
      <c r="N19" s="2"/>
    </row>
    <row r="20" spans="1:14" x14ac:dyDescent="0.25">
      <c r="A20" s="3" t="s">
        <v>99</v>
      </c>
      <c r="B20" s="3" t="s">
        <v>102</v>
      </c>
      <c r="C20" s="3" t="s">
        <v>104</v>
      </c>
      <c r="D20" s="3" t="s">
        <v>107</v>
      </c>
      <c r="E20" s="3" t="s">
        <v>110</v>
      </c>
      <c r="F20" s="3" t="s">
        <v>113</v>
      </c>
      <c r="G20" s="3" t="s">
        <v>116</v>
      </c>
    </row>
    <row r="21" spans="1:14" x14ac:dyDescent="0.25">
      <c r="A21" s="3" t="s">
        <v>99</v>
      </c>
      <c r="B21" s="3" t="s">
        <v>103</v>
      </c>
      <c r="C21" s="3" t="s">
        <v>105</v>
      </c>
      <c r="D21" s="3" t="s">
        <v>108</v>
      </c>
      <c r="E21" s="3" t="s">
        <v>111</v>
      </c>
      <c r="F21" s="3" t="s">
        <v>114</v>
      </c>
      <c r="G21" s="3" t="s">
        <v>117</v>
      </c>
    </row>
    <row r="22" spans="1:14" x14ac:dyDescent="0.25">
      <c r="A22" s="1" t="s">
        <v>118</v>
      </c>
      <c r="B22" s="3" t="s">
        <v>34</v>
      </c>
      <c r="C22" s="3" t="s">
        <v>66</v>
      </c>
      <c r="D22" s="3" t="s">
        <v>119</v>
      </c>
      <c r="E22" s="3" t="s">
        <v>120</v>
      </c>
      <c r="F22" s="3" t="s">
        <v>121</v>
      </c>
      <c r="G22" s="3" t="s">
        <v>122</v>
      </c>
    </row>
    <row r="23" spans="1:14" x14ac:dyDescent="0.25">
      <c r="A23" s="1" t="s">
        <v>123</v>
      </c>
      <c r="B23" s="3" t="s">
        <v>79</v>
      </c>
      <c r="C23" s="3" t="s">
        <v>73</v>
      </c>
      <c r="D23" s="3" t="s">
        <v>124</v>
      </c>
      <c r="E23" s="3" t="s">
        <v>125</v>
      </c>
      <c r="F23" s="3" t="s">
        <v>126</v>
      </c>
      <c r="G23" s="3" t="s">
        <v>127</v>
      </c>
    </row>
    <row r="24" spans="1:14" x14ac:dyDescent="0.25">
      <c r="A24" s="1" t="s">
        <v>128</v>
      </c>
      <c r="B24" s="3" t="s">
        <v>129</v>
      </c>
      <c r="C24" s="3" t="s">
        <v>60</v>
      </c>
      <c r="D24" s="3" t="s">
        <v>130</v>
      </c>
      <c r="E24" s="3" t="s">
        <v>131</v>
      </c>
      <c r="F24" s="3" t="s">
        <v>132</v>
      </c>
      <c r="G24" s="3" t="s">
        <v>133</v>
      </c>
    </row>
    <row r="25" spans="1:14" x14ac:dyDescent="0.25">
      <c r="A25" s="1" t="s">
        <v>128</v>
      </c>
      <c r="B25" s="3" t="s">
        <v>72</v>
      </c>
      <c r="C25" s="3" t="s">
        <v>23</v>
      </c>
      <c r="D25" s="3" t="s">
        <v>134</v>
      </c>
      <c r="E25" s="3" t="s">
        <v>135</v>
      </c>
      <c r="F25" s="3" t="s">
        <v>136</v>
      </c>
      <c r="G25" s="3" t="s">
        <v>137</v>
      </c>
    </row>
    <row r="26" spans="1:14" x14ac:dyDescent="0.25">
      <c r="A26" s="3" t="s">
        <v>128</v>
      </c>
      <c r="B26" s="3" t="s">
        <v>0</v>
      </c>
      <c r="C26" s="3" t="s">
        <v>8</v>
      </c>
      <c r="D26" s="3" t="s">
        <v>138</v>
      </c>
      <c r="E26" s="3" t="s">
        <v>139</v>
      </c>
      <c r="F26" s="3" t="s">
        <v>140</v>
      </c>
      <c r="G26" s="3" t="s">
        <v>141</v>
      </c>
    </row>
    <row r="27" spans="1:14" x14ac:dyDescent="0.25">
      <c r="A27" s="1" t="s">
        <v>142</v>
      </c>
      <c r="B27" s="3" t="s">
        <v>7</v>
      </c>
      <c r="C27" s="3">
        <v>1</v>
      </c>
      <c r="D27" s="3" t="s">
        <v>143</v>
      </c>
      <c r="E27" s="3" t="s">
        <v>144</v>
      </c>
      <c r="F27" s="3" t="s">
        <v>145</v>
      </c>
      <c r="G27" s="3" t="s">
        <v>146</v>
      </c>
    </row>
    <row r="28" spans="1:14" x14ac:dyDescent="0.25">
      <c r="A28" s="1" t="s">
        <v>147</v>
      </c>
      <c r="B28" s="3" t="s">
        <v>148</v>
      </c>
      <c r="C28" s="3" t="s">
        <v>23</v>
      </c>
      <c r="D28" s="3" t="s">
        <v>149</v>
      </c>
      <c r="E28" s="3" t="s">
        <v>150</v>
      </c>
      <c r="F28" s="3" t="s">
        <v>151</v>
      </c>
      <c r="G28" s="3" t="s">
        <v>152</v>
      </c>
    </row>
    <row r="29" spans="1:14" x14ac:dyDescent="0.25">
      <c r="A29" s="1" t="s">
        <v>154</v>
      </c>
      <c r="B29" s="3" t="s">
        <v>153</v>
      </c>
      <c r="C29" s="3" t="s">
        <v>101</v>
      </c>
      <c r="D29" s="3" t="s">
        <v>155</v>
      </c>
      <c r="E29" s="3" t="s">
        <v>157</v>
      </c>
      <c r="F29" s="3" t="s">
        <v>159</v>
      </c>
      <c r="G29" s="3" t="s">
        <v>161</v>
      </c>
    </row>
    <row r="30" spans="1:14" x14ac:dyDescent="0.25">
      <c r="A30" s="1" t="s">
        <v>154</v>
      </c>
      <c r="B30" s="3" t="s">
        <v>72</v>
      </c>
      <c r="C30" s="3" t="s">
        <v>79</v>
      </c>
      <c r="D30" s="3" t="s">
        <v>156</v>
      </c>
      <c r="E30" s="3" t="s">
        <v>158</v>
      </c>
      <c r="F30" s="3" t="s">
        <v>160</v>
      </c>
      <c r="G30" s="3" t="s">
        <v>162</v>
      </c>
    </row>
    <row r="31" spans="1:14" x14ac:dyDescent="0.25">
      <c r="A31" s="1" t="s">
        <v>154</v>
      </c>
      <c r="B31" s="3" t="s">
        <v>34</v>
      </c>
      <c r="C31" s="3" t="s">
        <v>101</v>
      </c>
      <c r="D31" s="3" t="s">
        <v>163</v>
      </c>
      <c r="E31" s="3" t="s">
        <v>164</v>
      </c>
      <c r="F31" s="3" t="s">
        <v>165</v>
      </c>
      <c r="G31" s="3" t="s">
        <v>166</v>
      </c>
    </row>
    <row r="32" spans="1:14" x14ac:dyDescent="0.25">
      <c r="A32" s="1" t="s">
        <v>167</v>
      </c>
      <c r="B32" s="3" t="s">
        <v>79</v>
      </c>
      <c r="C32" s="3" t="s">
        <v>168</v>
      </c>
      <c r="D32" s="3" t="s">
        <v>169</v>
      </c>
      <c r="E32" s="3" t="s">
        <v>170</v>
      </c>
      <c r="F32" s="3" t="s">
        <v>171</v>
      </c>
      <c r="G32" s="3" t="s">
        <v>172</v>
      </c>
    </row>
    <row r="33" spans="1:7" x14ac:dyDescent="0.25">
      <c r="A33" s="1" t="s">
        <v>173</v>
      </c>
      <c r="B33" s="3" t="s">
        <v>103</v>
      </c>
      <c r="C33" s="3" t="s">
        <v>104</v>
      </c>
      <c r="D33" s="3" t="s">
        <v>174</v>
      </c>
      <c r="E33" s="3" t="s">
        <v>175</v>
      </c>
      <c r="F33" s="3" t="s">
        <v>176</v>
      </c>
      <c r="G33" s="3" t="s">
        <v>177</v>
      </c>
    </row>
    <row r="34" spans="1:7" x14ac:dyDescent="0.25">
      <c r="A34" s="1" t="s">
        <v>178</v>
      </c>
      <c r="B34" s="3" t="s">
        <v>102</v>
      </c>
      <c r="C34" s="3" t="s">
        <v>73</v>
      </c>
      <c r="D34" s="3" t="s">
        <v>179</v>
      </c>
      <c r="E34" s="3" t="s">
        <v>180</v>
      </c>
      <c r="F34" s="3" t="s">
        <v>181</v>
      </c>
      <c r="G34" s="3" t="s">
        <v>182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58E72-7664-4D56-A936-9F6B043623A4}">
  <dimension ref="A1:AV9"/>
  <sheetViews>
    <sheetView tabSelected="1" workbookViewId="0">
      <selection activeCell="K9" sqref="K9"/>
    </sheetView>
  </sheetViews>
  <sheetFormatPr defaultRowHeight="12.75" x14ac:dyDescent="0.2"/>
  <cols>
    <col min="1" max="1" width="21.6640625" bestFit="1" customWidth="1"/>
    <col min="7" max="7" width="13.33203125" bestFit="1" customWidth="1"/>
    <col min="11" max="11" width="18.83203125" bestFit="1" customWidth="1"/>
    <col min="14" max="14" width="18.83203125" bestFit="1" customWidth="1"/>
    <col min="16" max="16" width="15.33203125" bestFit="1" customWidth="1"/>
    <col min="18" max="18" width="15.33203125" bestFit="1" customWidth="1"/>
    <col min="19" max="19" width="23" bestFit="1" customWidth="1"/>
    <col min="24" max="24" width="13.33203125" customWidth="1"/>
    <col min="27" max="27" width="11.83203125" bestFit="1" customWidth="1"/>
    <col min="28" max="28" width="8.5" customWidth="1"/>
    <col min="39" max="39" width="10.5" bestFit="1" customWidth="1"/>
    <col min="43" max="43" width="37.5" customWidth="1"/>
    <col min="44" max="45" width="21.6640625" customWidth="1"/>
    <col min="48" max="48" width="11.83203125" bestFit="1" customWidth="1"/>
  </cols>
  <sheetData>
    <row r="1" spans="1:48" ht="13.5" x14ac:dyDescent="0.25">
      <c r="A1" s="4" t="s">
        <v>183</v>
      </c>
      <c r="B1" s="4"/>
      <c r="C1" s="4" t="s">
        <v>184</v>
      </c>
      <c r="D1" s="4"/>
      <c r="E1" s="4"/>
      <c r="F1" s="4"/>
      <c r="G1" s="4" t="s">
        <v>185</v>
      </c>
      <c r="H1" s="4"/>
      <c r="I1" s="4"/>
      <c r="J1" s="4"/>
      <c r="K1" s="4" t="s">
        <v>186</v>
      </c>
      <c r="L1" s="4"/>
      <c r="M1" s="4"/>
      <c r="N1" s="4" t="s">
        <v>189</v>
      </c>
      <c r="O1" s="4"/>
      <c r="P1" s="4"/>
      <c r="Q1" s="4"/>
      <c r="R1" s="4"/>
      <c r="S1" s="4" t="s">
        <v>187</v>
      </c>
      <c r="T1" s="4"/>
      <c r="U1" s="4"/>
      <c r="V1" s="4"/>
      <c r="W1" s="4"/>
      <c r="X1" s="4" t="s">
        <v>188</v>
      </c>
      <c r="Y1" s="4"/>
      <c r="Z1" s="4"/>
      <c r="AA1" s="4" t="s">
        <v>190</v>
      </c>
      <c r="AB1" s="4"/>
      <c r="AC1" s="4"/>
      <c r="AD1" s="4"/>
      <c r="AE1" s="4" t="s">
        <v>191</v>
      </c>
      <c r="AF1" s="4"/>
      <c r="AG1" s="4"/>
      <c r="AH1" s="4"/>
      <c r="AI1" s="4"/>
      <c r="AJ1" s="4" t="s">
        <v>192</v>
      </c>
      <c r="AK1" s="4"/>
      <c r="AL1" s="4"/>
      <c r="AM1" s="4" t="s">
        <v>193</v>
      </c>
      <c r="AN1" s="4"/>
      <c r="AO1" s="4"/>
      <c r="AP1" s="4"/>
      <c r="AQ1" s="4" t="s">
        <v>194</v>
      </c>
      <c r="AR1" s="4"/>
      <c r="AS1" s="4"/>
      <c r="AT1" s="4"/>
      <c r="AU1" s="4"/>
      <c r="AV1" s="4" t="s">
        <v>195</v>
      </c>
    </row>
    <row r="3" spans="1:48" ht="15" x14ac:dyDescent="0.25">
      <c r="A3" s="5" t="s">
        <v>196</v>
      </c>
      <c r="C3" s="7" t="s">
        <v>0</v>
      </c>
      <c r="G3" s="6">
        <v>650</v>
      </c>
      <c r="K3" s="6">
        <v>1</v>
      </c>
      <c r="N3" s="6">
        <f>G3+25</f>
        <v>675</v>
      </c>
      <c r="S3" s="6">
        <v>0</v>
      </c>
      <c r="X3" s="6">
        <f>SUM(G3+N3)</f>
        <v>1325</v>
      </c>
      <c r="AA3" s="3" t="s">
        <v>2</v>
      </c>
      <c r="AE3" s="3" t="s">
        <v>3</v>
      </c>
      <c r="AJ3" s="3" t="s">
        <v>4</v>
      </c>
      <c r="AM3" s="3" t="s">
        <v>5</v>
      </c>
      <c r="AQ3" s="6">
        <f>SUM(AA3+AE3+AJ3+AM3)</f>
        <v>230517</v>
      </c>
      <c r="AV3">
        <f>25*3</f>
        <v>75</v>
      </c>
    </row>
    <row r="5" spans="1:48" ht="15" x14ac:dyDescent="0.25">
      <c r="A5" s="5" t="s">
        <v>197</v>
      </c>
      <c r="C5" s="7" t="s">
        <v>7</v>
      </c>
      <c r="G5" s="6">
        <v>650</v>
      </c>
      <c r="K5" s="7" t="s">
        <v>8</v>
      </c>
      <c r="N5" s="6">
        <f>650+25</f>
        <v>675</v>
      </c>
      <c r="S5" s="6">
        <v>0</v>
      </c>
      <c r="X5" s="6">
        <f>SUM(G5+N5)</f>
        <v>1325</v>
      </c>
      <c r="AA5" s="3" t="s">
        <v>9</v>
      </c>
      <c r="AE5" s="3" t="s">
        <v>10</v>
      </c>
      <c r="AJ5" s="3" t="s">
        <v>11</v>
      </c>
      <c r="AM5" s="3" t="s">
        <v>12</v>
      </c>
      <c r="AQ5" s="6">
        <f>SUM(AA5+AE5+AJ5+AM5)</f>
        <v>230521</v>
      </c>
      <c r="AV5">
        <f>25+2*3</f>
        <v>31</v>
      </c>
    </row>
    <row r="6" spans="1:48" x14ac:dyDescent="0.2">
      <c r="AQ6" s="6"/>
    </row>
    <row r="7" spans="1:48" ht="15" x14ac:dyDescent="0.25">
      <c r="A7" s="5" t="s">
        <v>198</v>
      </c>
      <c r="C7" s="6">
        <v>23</v>
      </c>
      <c r="G7" s="6">
        <v>825</v>
      </c>
      <c r="K7" s="6">
        <v>1</v>
      </c>
      <c r="N7" s="6">
        <f>G7+50*12%</f>
        <v>831</v>
      </c>
      <c r="S7" s="6">
        <v>0.12</v>
      </c>
      <c r="X7" s="6" t="s">
        <v>199</v>
      </c>
      <c r="AA7" s="3" t="s">
        <v>15</v>
      </c>
      <c r="AE7" s="3" t="s">
        <v>16</v>
      </c>
      <c r="AJ7" s="3" t="s">
        <v>17</v>
      </c>
      <c r="AM7" s="3" t="s">
        <v>18</v>
      </c>
      <c r="AQ7" s="6">
        <f t="shared" ref="AQ7" si="0">SUM(AA7+AE7+AJ7+AM7)</f>
        <v>230525</v>
      </c>
      <c r="AV7">
        <f>825*12%</f>
        <v>99</v>
      </c>
    </row>
    <row r="9" spans="1:48" ht="13.5" x14ac:dyDescent="0.25">
      <c r="A9" s="4" t="s">
        <v>200</v>
      </c>
      <c r="C9" s="6">
        <v>24</v>
      </c>
      <c r="G9" s="6">
        <v>825</v>
      </c>
      <c r="K9" s="6">
        <v>5</v>
      </c>
    </row>
  </sheetData>
  <pageMargins left="0.7" right="0.7" top="0.75" bottom="0.75" header="0.3" footer="0.3"/>
  <pageSetup orientation="portrait" horizontalDpi="4294967295" verticalDpi="4294967295" r:id="rId1"/>
</worksheet>
</file>

<file path=customUI/customUI14.xml><?xml version="1.0" encoding="utf-8"?>
<!-- This code was created by David Freer -->
<!-- All rights are reserved and this code may not be resold (copyright 2017)-->
<customUI xmlns="http://schemas.microsoft.com/office/2009/07/customui" xmlns:ch="QA_HELPER" onLoad="Ribbon_Load">
  <ribbon>
    <tabs>
      <tab id="CTAB_QA_HELPER" label="QA Helper" insertAfterMso="TabDeveloper" keytip="QA">
        <group id="Group_Misc">
          <button id="Btn_About" label="About" size="large" onAction="RunAction" imageMso="Info" screentip="About QA Helper"/>
        </group>
        <group id="Group_Data" label="Data">
          <button id="Btn_InsertDataWizard" label="Insert Wizard" size="large" onAction="RunAction" imageMso="BusinessFormWizard" screentip="Insert data using the QA data wizard"/>
        </group>
        <group id="Group_DataAnalysis" label="Data Analysis">
          <box id="box" boxStyle="horizontal">
            <labelControl id="Lbl_Filler1" label="Cell Character Count:"/>
            <labelControl id="Lbl_CellCharCount" getLabel="GetLabel"/>
          </box>
          <box id="box2" boxStyle="horizontal">
            <labelControl id="Lbl_Filler2" label="Row Character Total:"/>
            <labelControl id="Lbl_RowCharCount" getLabel="GetLabel"/>
          </box>
          <box id="box3" boxStyle="horizontal">
            <labelControl id="Lbl_Filler3" label="Selection Character Total:"/>
            <labelControl id="Lbl_SelectionCharCount" getLabel="GetLabel"/>
          </box>
          <dialogBoxLauncher>
            <button id="Btn_CharacterCountInfo" onAction="RunAction"/>
          </dialogBoxLauncher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 Data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2013-01-17T18:07:16Z</cp:lastPrinted>
  <dcterms:created xsi:type="dcterms:W3CDTF">2002-10-19T01:29:57Z</dcterms:created>
  <dcterms:modified xsi:type="dcterms:W3CDTF">2018-01-31T14:32:25Z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ession Revision Number">
    <vt:lpwstr>251</vt:lpwstr>
  </property>
  <property fmtid="{D5CDD505-2E9C-101B-9397-08002B2CF9AE}" pid="3" name="Fresh Open">
    <vt:lpwstr>0</vt:lpwstr>
  </property>
  <property fmtid="{D5CDD505-2E9C-101B-9397-08002B2CF9AE}" pid="4" name="Revision Number">
    <vt:lpwstr>9</vt:lpwstr>
  </property>
</Properties>
</file>
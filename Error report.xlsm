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572294d83c54c77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A\"/>
    </mc:Choice>
  </mc:AlternateContent>
  <bookViews>
    <workbookView xWindow="600" yWindow="240" windowWidth="13935" windowHeight="8385" activeTab="3" xr2:uid="{00000000-000D-0000-FFFF-FFFF00000000}"/>
  </bookViews>
  <sheets>
    <sheet name="Error" sheetId="10" r:id="rId1"/>
    <sheet name="Validation" sheetId="11" r:id="rId2"/>
    <sheet name="Error expected outcome" sheetId="12" r:id="rId3"/>
    <sheet name="Sales report" sheetId="13" r:id="rId4"/>
  </sheets>
  <calcPr calcId="171027"/>
</workbook>
</file>

<file path=xl/calcChain.xml><?xml version="1.0" encoding="utf-8"?>
<calcChain xmlns="http://schemas.openxmlformats.org/spreadsheetml/2006/main">
  <c r="B25" i="13" l="1"/>
  <c r="B24" i="13"/>
  <c r="B23" i="13"/>
  <c r="B22" i="13"/>
  <c r="B21" i="13"/>
  <c r="B17" i="13"/>
  <c r="Y4" i="13"/>
  <c r="Y5" i="13"/>
  <c r="Y6" i="13"/>
  <c r="Y7" i="13"/>
  <c r="Y8" i="13"/>
  <c r="Y9" i="13"/>
  <c r="Y10" i="13"/>
  <c r="Y11" i="13"/>
  <c r="Y12" i="13"/>
  <c r="Y13" i="13"/>
  <c r="Y14" i="13"/>
  <c r="Y3" i="13"/>
</calcChain>
</file>

<file path=xl/sharedStrings.xml><?xml version="1.0" encoding="utf-8"?>
<sst xmlns="http://schemas.openxmlformats.org/spreadsheetml/2006/main" count="487" uniqueCount="209">
  <si>
    <t xml:space="preserve">Robertson      </t>
  </si>
  <si>
    <t>IA</t>
  </si>
  <si>
    <t>238326898</t>
  </si>
  <si>
    <t>976985616</t>
  </si>
  <si>
    <t>402298995</t>
  </si>
  <si>
    <t>801928224</t>
  </si>
  <si>
    <t>164442052</t>
  </si>
  <si>
    <t>957037804</t>
  </si>
  <si>
    <t>480491334</t>
  </si>
  <si>
    <t>013407983</t>
  </si>
  <si>
    <t>289088352</t>
  </si>
  <si>
    <t>456278395</t>
  </si>
  <si>
    <t>679456727</t>
  </si>
  <si>
    <t>AR</t>
  </si>
  <si>
    <t>ME</t>
  </si>
  <si>
    <t>MO</t>
  </si>
  <si>
    <t xml:space="preserve">Daly City </t>
  </si>
  <si>
    <t>North Have</t>
  </si>
  <si>
    <t>Port Huene</t>
  </si>
  <si>
    <t xml:space="preserve">San Mateo </t>
  </si>
  <si>
    <t xml:space="preserve">Palmdale  </t>
  </si>
  <si>
    <t xml:space="preserve">Redlands  </t>
  </si>
  <si>
    <t>Buena Park</t>
  </si>
  <si>
    <t xml:space="preserve">Mundelein </t>
  </si>
  <si>
    <t xml:space="preserve">Fairfield </t>
  </si>
  <si>
    <t>Colorado S</t>
  </si>
  <si>
    <t xml:space="preserve">Sanford   </t>
  </si>
  <si>
    <t>0860 Howard Str</t>
  </si>
  <si>
    <t>6660 Edgewood D</t>
  </si>
  <si>
    <t>7086 Park Avenu</t>
  </si>
  <si>
    <t xml:space="preserve">0226 Jefferson </t>
  </si>
  <si>
    <t>8659 Lincoln St</t>
  </si>
  <si>
    <t>0693 South Stre</t>
  </si>
  <si>
    <t>3845 Fulton Str</t>
  </si>
  <si>
    <t>3129 Pin Oak Dr</t>
  </si>
  <si>
    <t>9667 Clinton St</t>
  </si>
  <si>
    <t>8029 College St</t>
  </si>
  <si>
    <t>5376 Holly Cour</t>
  </si>
  <si>
    <t xml:space="preserve">Johan          </t>
  </si>
  <si>
    <t xml:space="preserve">Austin         </t>
  </si>
  <si>
    <t xml:space="preserve">Fabian         </t>
  </si>
  <si>
    <t xml:space="preserve">Jose           </t>
  </si>
  <si>
    <t xml:space="preserve">Hayden         </t>
  </si>
  <si>
    <t xml:space="preserve">Arlo           </t>
  </si>
  <si>
    <t xml:space="preserve">Dustin         </t>
  </si>
  <si>
    <t xml:space="preserve">Messiah        </t>
  </si>
  <si>
    <t xml:space="preserve">Cade           </t>
  </si>
  <si>
    <t xml:space="preserve">Ace            </t>
  </si>
  <si>
    <t xml:space="preserve">Kobe           </t>
  </si>
  <si>
    <t xml:space="preserve">Shaffer        </t>
  </si>
  <si>
    <t xml:space="preserve">Becker         </t>
  </si>
  <si>
    <t xml:space="preserve">Keller         </t>
  </si>
  <si>
    <t xml:space="preserve">Salazar        </t>
  </si>
  <si>
    <t xml:space="preserve">Cortez         </t>
  </si>
  <si>
    <t xml:space="preserve">Day            </t>
  </si>
  <si>
    <t xml:space="preserve">Gregory        </t>
  </si>
  <si>
    <t xml:space="preserve">Goodwin        </t>
  </si>
  <si>
    <t xml:space="preserve">Cook           </t>
  </si>
  <si>
    <t xml:space="preserve">Mckenzie       </t>
  </si>
  <si>
    <t>93</t>
  </si>
  <si>
    <t>40</t>
  </si>
  <si>
    <t>54</t>
  </si>
  <si>
    <t>07</t>
  </si>
  <si>
    <t>70</t>
  </si>
  <si>
    <t>00</t>
  </si>
  <si>
    <t>64</t>
  </si>
  <si>
    <t>51</t>
  </si>
  <si>
    <t>92</t>
  </si>
  <si>
    <t>84</t>
  </si>
  <si>
    <t>33</t>
  </si>
  <si>
    <t>90</t>
  </si>
  <si>
    <t>11</t>
  </si>
  <si>
    <t xml:space="preserve">5 </t>
  </si>
  <si>
    <t>10</t>
  </si>
  <si>
    <t>1</t>
  </si>
  <si>
    <t>2</t>
  </si>
  <si>
    <t>3</t>
  </si>
  <si>
    <t>4</t>
  </si>
  <si>
    <t>6</t>
  </si>
  <si>
    <t>7</t>
  </si>
  <si>
    <t>8</t>
  </si>
  <si>
    <t>9</t>
  </si>
  <si>
    <t>12</t>
  </si>
  <si>
    <t>B</t>
  </si>
  <si>
    <t>C</t>
  </si>
  <si>
    <t>A</t>
  </si>
  <si>
    <t>D</t>
  </si>
  <si>
    <t>E</t>
  </si>
  <si>
    <t>IL</t>
  </si>
  <si>
    <t>Mi</t>
  </si>
  <si>
    <t>NE</t>
  </si>
  <si>
    <t>WI</t>
  </si>
  <si>
    <t>F</t>
  </si>
  <si>
    <t>ABC</t>
  </si>
  <si>
    <t xml:space="preserve">Mullins        </t>
  </si>
  <si>
    <t xml:space="preserve">Lane           </t>
  </si>
  <si>
    <t xml:space="preserve">Davidson       </t>
  </si>
  <si>
    <t xml:space="preserve">Marsh          </t>
  </si>
  <si>
    <t xml:space="preserve">HowellDean     </t>
  </si>
  <si>
    <t xml:space="preserve">Hopkins        </t>
  </si>
  <si>
    <t xml:space="preserve">Petersen       </t>
  </si>
  <si>
    <t xml:space="preserve">Paul           </t>
  </si>
  <si>
    <t xml:space="preserve">Monroe         </t>
  </si>
  <si>
    <t xml:space="preserve">Murphy         </t>
  </si>
  <si>
    <t xml:space="preserve">Hernandez      </t>
  </si>
  <si>
    <t xml:space="preserve">Salinas        </t>
  </si>
  <si>
    <t xml:space="preserve">Muhammad       </t>
  </si>
  <si>
    <t xml:space="preserve">Travis         </t>
  </si>
  <si>
    <t xml:space="preserve">Dillon         </t>
  </si>
  <si>
    <t xml:space="preserve">Quinn          </t>
  </si>
  <si>
    <t xml:space="preserve">Ronald         </t>
  </si>
  <si>
    <t xml:space="preserve">Braden         </t>
  </si>
  <si>
    <t xml:space="preserve">Mohamed        </t>
  </si>
  <si>
    <t xml:space="preserve">Manuel         </t>
  </si>
  <si>
    <t xml:space="preserve">Julius         </t>
  </si>
  <si>
    <t xml:space="preserve">Cyrus          </t>
  </si>
  <si>
    <t xml:space="preserve">Ian            </t>
  </si>
  <si>
    <t>7672 Roberts Ro</t>
  </si>
  <si>
    <t>0920 Fawn Court</t>
  </si>
  <si>
    <t xml:space="preserve">9949 Lexington </t>
  </si>
  <si>
    <t>2549 Pennsylvan</t>
  </si>
  <si>
    <t>3179 Ivy Lane E</t>
  </si>
  <si>
    <t>1580 Amherst St</t>
  </si>
  <si>
    <t>7294 Main Stree</t>
  </si>
  <si>
    <t>0965 Center Str</t>
  </si>
  <si>
    <t>3272 Oak Street</t>
  </si>
  <si>
    <t>4756 Willow Str</t>
  </si>
  <si>
    <t>2658 King Stree</t>
  </si>
  <si>
    <t>6690 Fulton Str</t>
  </si>
  <si>
    <t xml:space="preserve">Boulder   </t>
  </si>
  <si>
    <t>San Gabrie</t>
  </si>
  <si>
    <t xml:space="preserve">Alexander </t>
  </si>
  <si>
    <t xml:space="preserve">Hartford  </t>
  </si>
  <si>
    <t xml:space="preserve">Arlington </t>
  </si>
  <si>
    <t xml:space="preserve">Chester   </t>
  </si>
  <si>
    <t xml:space="preserve">Lebanon   </t>
  </si>
  <si>
    <t>San Fernan</t>
  </si>
  <si>
    <t xml:space="preserve">Milford   </t>
  </si>
  <si>
    <t xml:space="preserve">Rockford  </t>
  </si>
  <si>
    <t xml:space="preserve">Burbank   </t>
  </si>
  <si>
    <t>MI</t>
  </si>
  <si>
    <t>286223633</t>
  </si>
  <si>
    <t>306708119</t>
  </si>
  <si>
    <t>280681443</t>
  </si>
  <si>
    <t>075973900</t>
  </si>
  <si>
    <t>406882821</t>
  </si>
  <si>
    <t>365224827</t>
  </si>
  <si>
    <t>776428224</t>
  </si>
  <si>
    <t>082601739</t>
  </si>
  <si>
    <t>119232983</t>
  </si>
  <si>
    <t>801217322</t>
  </si>
  <si>
    <t>204048809</t>
  </si>
  <si>
    <t>990366880</t>
  </si>
  <si>
    <t>44</t>
  </si>
  <si>
    <t>43</t>
  </si>
  <si>
    <t>31</t>
  </si>
  <si>
    <t>16</t>
  </si>
  <si>
    <t>36</t>
  </si>
  <si>
    <t>35</t>
  </si>
  <si>
    <t>08</t>
  </si>
  <si>
    <t>62</t>
  </si>
  <si>
    <t>97</t>
  </si>
  <si>
    <t>20</t>
  </si>
  <si>
    <t>Non Blank</t>
  </si>
  <si>
    <t>IA,IL,MI,MO,NE,WI</t>
  </si>
  <si>
    <t>Numeric</t>
  </si>
  <si>
    <t>1-12 Numeric</t>
  </si>
  <si>
    <t>Numeric 1 or more</t>
  </si>
  <si>
    <t>A-E</t>
  </si>
  <si>
    <t>Error Record</t>
  </si>
  <si>
    <t>error in Lname</t>
  </si>
  <si>
    <t>error in Fname</t>
  </si>
  <si>
    <t>error in address</t>
  </si>
  <si>
    <t>error in city</t>
  </si>
  <si>
    <t>error in state</t>
  </si>
  <si>
    <t>error in zip</t>
  </si>
  <si>
    <t>error in pop type</t>
  </si>
  <si>
    <t>error in #cases</t>
  </si>
  <si>
    <t>error in team</t>
  </si>
  <si>
    <t>Error Description</t>
  </si>
  <si>
    <t>Blank in Lname</t>
  </si>
  <si>
    <t>Blank in Fname</t>
  </si>
  <si>
    <t>Blank in address</t>
  </si>
  <si>
    <t>Blank in city</t>
  </si>
  <si>
    <t>error wrong state</t>
  </si>
  <si>
    <t>not numeric</t>
  </si>
  <si>
    <t>not 1-12 numeric</t>
  </si>
  <si>
    <t xml:space="preserve">not 1or more </t>
  </si>
  <si>
    <t>not A-E</t>
  </si>
  <si>
    <t>Total Errors</t>
  </si>
  <si>
    <t>LName</t>
  </si>
  <si>
    <t>FName</t>
  </si>
  <si>
    <t>City</t>
  </si>
  <si>
    <t>State</t>
  </si>
  <si>
    <t>Zip Code</t>
  </si>
  <si>
    <t>POP Type</t>
  </si>
  <si>
    <t>Quantity</t>
  </si>
  <si>
    <t>Deposit AMT</t>
  </si>
  <si>
    <t>Total Sales</t>
  </si>
  <si>
    <t>Price per case</t>
  </si>
  <si>
    <t>*</t>
  </si>
  <si>
    <t>Grand Total</t>
  </si>
  <si>
    <t>Team A</t>
  </si>
  <si>
    <t>Team B</t>
  </si>
  <si>
    <t>Team C</t>
  </si>
  <si>
    <t>Team D</t>
  </si>
  <si>
    <t>Team E</t>
  </si>
  <si>
    <t>Winner</t>
  </si>
  <si>
    <t xml:space="preserve">Team 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</si>
</sst>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0"/>
      <name val="Arial Narrow"/>
    </font>
    <font>
      <sz val="12"/>
      <name val="Arial Narrow"/>
      <family val="2"/>
    </font>
    <font>
      <u/>
      <sz val="11"/>
      <color theme="10"/>
      <name val="Arial Narrow"/>
      <family val="2"/>
    </font>
    <font>
      <sz val="11"/>
      <name val="Courier New"/>
      <family val="3"/>
    </font>
    <font>
      <sz val="10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</cellStyleXfs>
  <cellXfs count="10">
    <xf numFmtId="0" fontId="0" fillId="0" borderId="0" xfId="0"/>
    <xf numFmtId="0" fontId="3" fillId="0" borderId="0" xfId="0" applyFont="1"/>
    <xf numFmtId="0" fontId="3" fillId="0" borderId="0" xfId="0" applyNumberFormat="1" applyFont="1"/>
    <xf numFmtId="49" fontId="3" fillId="0" borderId="0" xfId="0" applyNumberFormat="1" applyFont="1"/>
    <xf numFmtId="49" fontId="0" fillId="0" borderId="0" xfId="0" applyNumberFormat="1"/>
    <xf numFmtId="0" fontId="4" fillId="0" borderId="0" xfId="0" applyFont="1"/>
    <xf numFmtId="49" fontId="4" fillId="0" borderId="0" xfId="0" applyNumberFormat="1" applyFont="1"/>
    <xf numFmtId="4" fontId="3" fillId="0" borderId="0" xfId="0" applyNumberFormat="1" applyFont="1"/>
    <xf numFmtId="4" fontId="0" fillId="0" borderId="0" xfId="0" applyNumberFormat="1"/>
    <xf numFmtId="164" fontId="0" fillId="0" borderId="0" xfId="0" applyNumberFormat="1"/>
  </cellXfs>
  <cellStyles count="5">
    <cellStyle name="Hyperlink 2" xfId="3" xr:uid="{00000000-0005-0000-0000-000000000000}"/>
    <cellStyle name="Normal" xfId="0" builtinId="0"/>
    <cellStyle name="Normal 2" xfId="1" xr:uid="{00000000-0005-0000-0000-000002000000}"/>
    <cellStyle name="Normal 2 2" xfId="4" xr:uid="{00000000-0005-0000-0000-000003000000}"/>
    <cellStyle name="Normal 2 3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6"/>
  <sheetViews>
    <sheetView workbookViewId="0">
      <selection activeCell="H15" sqref="H15:H26"/>
    </sheetView>
  </sheetViews>
  <sheetFormatPr defaultRowHeight="15" x14ac:dyDescent="0.25"/>
  <cols>
    <col min="1" max="3" width="24.5" style="1" bestFit="1" customWidth="1"/>
    <col min="4" max="4" width="16.6640625" style="1" bestFit="1" customWidth="1"/>
    <col min="5" max="5" width="4.5" style="1" bestFit="1" customWidth="1"/>
    <col min="6" max="6" width="15.1640625" style="1" bestFit="1" customWidth="1"/>
    <col min="7" max="8" width="4.5" style="1" bestFit="1" customWidth="1"/>
    <col min="9" max="9" width="3" style="1" bestFit="1" customWidth="1"/>
    <col min="10" max="13" width="9.33203125" style="1"/>
    <col min="14" max="14" width="10.5" style="1" bestFit="1" customWidth="1"/>
    <col min="15" max="16384" width="9.33203125" style="1"/>
  </cols>
  <sheetData>
    <row r="1" spans="1:14" x14ac:dyDescent="0.25">
      <c r="A1" s="3"/>
      <c r="B1" s="3" t="s">
        <v>38</v>
      </c>
      <c r="C1" s="3" t="s">
        <v>27</v>
      </c>
      <c r="D1" s="3" t="s">
        <v>16</v>
      </c>
      <c r="E1" s="3" t="s">
        <v>1</v>
      </c>
      <c r="F1" s="3" t="s">
        <v>2</v>
      </c>
      <c r="G1" s="3" t="s">
        <v>74</v>
      </c>
      <c r="H1" s="3" t="s">
        <v>59</v>
      </c>
      <c r="I1" s="3" t="s">
        <v>85</v>
      </c>
    </row>
    <row r="2" spans="1:14" x14ac:dyDescent="0.25">
      <c r="A2" s="3" t="s">
        <v>49</v>
      </c>
      <c r="B2" s="3"/>
      <c r="C2" s="3" t="s">
        <v>28</v>
      </c>
      <c r="D2" s="3" t="s">
        <v>17</v>
      </c>
      <c r="E2" s="3" t="s">
        <v>88</v>
      </c>
      <c r="F2" s="3" t="s">
        <v>3</v>
      </c>
      <c r="G2" s="3" t="s">
        <v>75</v>
      </c>
      <c r="H2" s="3" t="s">
        <v>60</v>
      </c>
      <c r="I2" s="3" t="s">
        <v>83</v>
      </c>
    </row>
    <row r="3" spans="1:14" x14ac:dyDescent="0.25">
      <c r="A3" s="3" t="s">
        <v>50</v>
      </c>
      <c r="B3" s="3" t="s">
        <v>39</v>
      </c>
      <c r="C3" s="3"/>
      <c r="D3" s="3" t="s">
        <v>18</v>
      </c>
      <c r="E3" s="3" t="s">
        <v>89</v>
      </c>
      <c r="F3" s="3" t="s">
        <v>4</v>
      </c>
      <c r="G3" s="3" t="s">
        <v>76</v>
      </c>
      <c r="H3" s="3" t="s">
        <v>61</v>
      </c>
      <c r="I3" s="3" t="s">
        <v>84</v>
      </c>
    </row>
    <row r="4" spans="1:14" x14ac:dyDescent="0.25">
      <c r="A4" s="3" t="s">
        <v>51</v>
      </c>
      <c r="B4" s="3" t="s">
        <v>40</v>
      </c>
      <c r="C4" s="3" t="s">
        <v>29</v>
      </c>
      <c r="D4" s="3"/>
      <c r="E4" s="3" t="s">
        <v>15</v>
      </c>
      <c r="F4" s="3" t="s">
        <v>5</v>
      </c>
      <c r="G4" s="3" t="s">
        <v>77</v>
      </c>
      <c r="H4" s="3" t="s">
        <v>62</v>
      </c>
      <c r="I4" s="3" t="s">
        <v>86</v>
      </c>
    </row>
    <row r="5" spans="1:14" x14ac:dyDescent="0.25">
      <c r="A5" s="3" t="s">
        <v>0</v>
      </c>
      <c r="B5" s="3" t="s">
        <v>41</v>
      </c>
      <c r="C5" s="3" t="s">
        <v>30</v>
      </c>
      <c r="D5" s="3" t="s">
        <v>19</v>
      </c>
      <c r="E5" s="3" t="s">
        <v>13</v>
      </c>
      <c r="F5" s="3" t="s">
        <v>6</v>
      </c>
      <c r="G5" s="3" t="s">
        <v>72</v>
      </c>
      <c r="H5" s="3" t="s">
        <v>63</v>
      </c>
      <c r="I5" s="3" t="s">
        <v>87</v>
      </c>
    </row>
    <row r="6" spans="1:14" x14ac:dyDescent="0.25">
      <c r="A6" s="3" t="s">
        <v>52</v>
      </c>
      <c r="B6" s="3" t="s">
        <v>42</v>
      </c>
      <c r="C6" s="3" t="s">
        <v>31</v>
      </c>
      <c r="D6" s="3" t="s">
        <v>20</v>
      </c>
      <c r="E6" s="3" t="s">
        <v>14</v>
      </c>
      <c r="F6" s="3" t="s">
        <v>93</v>
      </c>
      <c r="G6" s="3" t="s">
        <v>78</v>
      </c>
      <c r="H6" s="3" t="s">
        <v>64</v>
      </c>
      <c r="I6" s="3" t="s">
        <v>92</v>
      </c>
    </row>
    <row r="7" spans="1:14" x14ac:dyDescent="0.25">
      <c r="A7" s="3" t="s">
        <v>53</v>
      </c>
      <c r="B7" s="3" t="s">
        <v>43</v>
      </c>
      <c r="C7" s="3" t="s">
        <v>32</v>
      </c>
      <c r="D7" s="3" t="s">
        <v>21</v>
      </c>
      <c r="E7" s="3" t="s">
        <v>90</v>
      </c>
      <c r="F7" s="3" t="s">
        <v>7</v>
      </c>
      <c r="G7" s="3" t="s">
        <v>79</v>
      </c>
      <c r="H7" s="3" t="s">
        <v>65</v>
      </c>
      <c r="I7" s="3"/>
    </row>
    <row r="8" spans="1:14" x14ac:dyDescent="0.25">
      <c r="A8" s="3" t="s">
        <v>54</v>
      </c>
      <c r="B8" s="3" t="s">
        <v>44</v>
      </c>
      <c r="C8" s="3" t="s">
        <v>33</v>
      </c>
      <c r="D8" s="3" t="s">
        <v>22</v>
      </c>
      <c r="E8" s="3" t="s">
        <v>91</v>
      </c>
      <c r="F8" s="3" t="s">
        <v>8</v>
      </c>
      <c r="G8" s="3" t="s">
        <v>80</v>
      </c>
      <c r="H8" s="3" t="s">
        <v>66</v>
      </c>
      <c r="I8" s="3"/>
    </row>
    <row r="9" spans="1:14" x14ac:dyDescent="0.25">
      <c r="A9" s="3" t="s">
        <v>55</v>
      </c>
      <c r="B9" s="3" t="s">
        <v>45</v>
      </c>
      <c r="C9" s="3" t="s">
        <v>34</v>
      </c>
      <c r="D9" s="3" t="s">
        <v>23</v>
      </c>
      <c r="E9" s="3"/>
      <c r="F9" s="3" t="s">
        <v>9</v>
      </c>
      <c r="G9" s="3" t="s">
        <v>81</v>
      </c>
      <c r="H9" s="3" t="s">
        <v>67</v>
      </c>
      <c r="I9" s="3"/>
    </row>
    <row r="10" spans="1:14" x14ac:dyDescent="0.25">
      <c r="A10" s="3" t="s">
        <v>56</v>
      </c>
      <c r="B10" s="3" t="s">
        <v>46</v>
      </c>
      <c r="C10" s="3" t="s">
        <v>35</v>
      </c>
      <c r="D10" s="3" t="s">
        <v>24</v>
      </c>
      <c r="E10" s="3"/>
      <c r="F10" s="3" t="s">
        <v>10</v>
      </c>
      <c r="G10" s="3" t="s">
        <v>73</v>
      </c>
      <c r="H10" s="3" t="s">
        <v>68</v>
      </c>
      <c r="I10" s="3"/>
      <c r="N10" s="2"/>
    </row>
    <row r="11" spans="1:14" x14ac:dyDescent="0.25">
      <c r="A11" s="3" t="s">
        <v>57</v>
      </c>
      <c r="B11" s="3" t="s">
        <v>47</v>
      </c>
      <c r="C11" s="3" t="s">
        <v>36</v>
      </c>
      <c r="D11" s="3" t="s">
        <v>25</v>
      </c>
      <c r="E11" s="3"/>
      <c r="F11" s="3" t="s">
        <v>11</v>
      </c>
      <c r="G11" s="3" t="s">
        <v>71</v>
      </c>
      <c r="H11" s="3" t="s">
        <v>69</v>
      </c>
      <c r="I11" s="3"/>
      <c r="N11" s="2"/>
    </row>
    <row r="12" spans="1:14" x14ac:dyDescent="0.25">
      <c r="A12" s="3" t="s">
        <v>58</v>
      </c>
      <c r="B12" s="3" t="s">
        <v>48</v>
      </c>
      <c r="C12" s="3" t="s">
        <v>37</v>
      </c>
      <c r="D12" s="3" t="s">
        <v>26</v>
      </c>
      <c r="E12" s="3"/>
      <c r="F12" s="3" t="s">
        <v>12</v>
      </c>
      <c r="G12" s="3" t="s">
        <v>82</v>
      </c>
      <c r="H12" s="3" t="s">
        <v>70</v>
      </c>
      <c r="I12" s="3"/>
      <c r="N12" s="2"/>
    </row>
    <row r="13" spans="1:14" x14ac:dyDescent="0.25">
      <c r="D13" s="3"/>
      <c r="G13" s="1">
        <v>13</v>
      </c>
      <c r="N13" s="2"/>
    </row>
    <row r="14" spans="1:14" x14ac:dyDescent="0.25">
      <c r="D14" s="3"/>
      <c r="N14" s="2"/>
    </row>
    <row r="15" spans="1:14" x14ac:dyDescent="0.25">
      <c r="A15" s="3" t="s">
        <v>94</v>
      </c>
      <c r="B15" s="3" t="s">
        <v>106</v>
      </c>
      <c r="C15" s="3" t="s">
        <v>117</v>
      </c>
      <c r="D15" s="3" t="s">
        <v>26</v>
      </c>
      <c r="E15" s="3" t="s">
        <v>1</v>
      </c>
      <c r="F15" s="3" t="s">
        <v>141</v>
      </c>
      <c r="G15" s="3">
        <v>1</v>
      </c>
      <c r="H15" s="3" t="s">
        <v>153</v>
      </c>
      <c r="I15" s="1" t="s">
        <v>85</v>
      </c>
      <c r="N15" s="2"/>
    </row>
    <row r="16" spans="1:14" x14ac:dyDescent="0.25">
      <c r="A16" s="3" t="s">
        <v>95</v>
      </c>
      <c r="B16" s="3" t="s">
        <v>107</v>
      </c>
      <c r="C16" s="3" t="s">
        <v>118</v>
      </c>
      <c r="D16" s="3" t="s">
        <v>129</v>
      </c>
      <c r="E16" s="3" t="s">
        <v>88</v>
      </c>
      <c r="F16" s="3" t="s">
        <v>142</v>
      </c>
      <c r="G16" s="3">
        <v>2</v>
      </c>
      <c r="H16" s="3" t="s">
        <v>154</v>
      </c>
      <c r="I16" s="1" t="s">
        <v>83</v>
      </c>
      <c r="N16" s="2"/>
    </row>
    <row r="17" spans="1:14" x14ac:dyDescent="0.25">
      <c r="A17" s="3" t="s">
        <v>96</v>
      </c>
      <c r="B17" s="3" t="s">
        <v>108</v>
      </c>
      <c r="C17" s="3" t="s">
        <v>119</v>
      </c>
      <c r="D17" s="3" t="s">
        <v>130</v>
      </c>
      <c r="E17" s="3" t="s">
        <v>140</v>
      </c>
      <c r="F17" s="3" t="s">
        <v>143</v>
      </c>
      <c r="G17" s="3">
        <v>3</v>
      </c>
      <c r="H17" s="3" t="s">
        <v>155</v>
      </c>
      <c r="I17" s="1" t="s">
        <v>84</v>
      </c>
      <c r="N17" s="2"/>
    </row>
    <row r="18" spans="1:14" x14ac:dyDescent="0.25">
      <c r="A18" s="3" t="s">
        <v>97</v>
      </c>
      <c r="B18" s="3" t="s">
        <v>109</v>
      </c>
      <c r="C18" s="3" t="s">
        <v>120</v>
      </c>
      <c r="D18" s="3" t="s">
        <v>131</v>
      </c>
      <c r="E18" s="3" t="s">
        <v>15</v>
      </c>
      <c r="F18" s="3" t="s">
        <v>144</v>
      </c>
      <c r="G18" s="3">
        <v>4</v>
      </c>
      <c r="H18" s="3" t="s">
        <v>156</v>
      </c>
      <c r="I18" s="1" t="s">
        <v>86</v>
      </c>
      <c r="N18" s="2"/>
    </row>
    <row r="19" spans="1:14" x14ac:dyDescent="0.25">
      <c r="A19" s="3" t="s">
        <v>98</v>
      </c>
      <c r="B19" s="3" t="s">
        <v>110</v>
      </c>
      <c r="C19" s="3" t="s">
        <v>121</v>
      </c>
      <c r="D19" s="3" t="s">
        <v>132</v>
      </c>
      <c r="E19" s="3" t="s">
        <v>90</v>
      </c>
      <c r="F19" s="3" t="s">
        <v>145</v>
      </c>
      <c r="G19" s="3">
        <v>5</v>
      </c>
      <c r="H19" s="3" t="s">
        <v>157</v>
      </c>
      <c r="I19" s="1" t="s">
        <v>87</v>
      </c>
      <c r="N19" s="2"/>
    </row>
    <row r="20" spans="1:14" x14ac:dyDescent="0.25">
      <c r="A20" s="3" t="s">
        <v>99</v>
      </c>
      <c r="B20" s="3" t="s">
        <v>111</v>
      </c>
      <c r="C20" s="3" t="s">
        <v>122</v>
      </c>
      <c r="D20" s="3" t="s">
        <v>133</v>
      </c>
      <c r="E20" s="3" t="s">
        <v>91</v>
      </c>
      <c r="F20" s="3" t="s">
        <v>146</v>
      </c>
      <c r="G20" s="3">
        <v>6</v>
      </c>
      <c r="H20" s="3" t="s">
        <v>158</v>
      </c>
    </row>
    <row r="21" spans="1:14" x14ac:dyDescent="0.25">
      <c r="A21" s="3" t="s">
        <v>100</v>
      </c>
      <c r="B21" s="3" t="s">
        <v>112</v>
      </c>
      <c r="C21" s="3" t="s">
        <v>123</v>
      </c>
      <c r="D21" s="3" t="s">
        <v>134</v>
      </c>
      <c r="E21" s="3"/>
      <c r="F21" s="3" t="s">
        <v>147</v>
      </c>
      <c r="G21" s="3">
        <v>7</v>
      </c>
      <c r="H21" s="3" t="s">
        <v>159</v>
      </c>
    </row>
    <row r="22" spans="1:14" x14ac:dyDescent="0.25">
      <c r="A22" s="3" t="s">
        <v>101</v>
      </c>
      <c r="B22" s="3" t="s">
        <v>113</v>
      </c>
      <c r="C22" s="3" t="s">
        <v>124</v>
      </c>
      <c r="D22" s="3" t="s">
        <v>135</v>
      </c>
      <c r="E22" s="3"/>
      <c r="F22" s="3" t="s">
        <v>148</v>
      </c>
      <c r="G22" s="3">
        <v>8</v>
      </c>
      <c r="H22" s="3" t="s">
        <v>160</v>
      </c>
    </row>
    <row r="23" spans="1:14" x14ac:dyDescent="0.25">
      <c r="A23" s="3" t="s">
        <v>102</v>
      </c>
      <c r="B23" s="3" t="s">
        <v>47</v>
      </c>
      <c r="C23" s="3" t="s">
        <v>125</v>
      </c>
      <c r="D23" s="3" t="s">
        <v>136</v>
      </c>
      <c r="E23" s="3"/>
      <c r="F23" s="3" t="s">
        <v>149</v>
      </c>
      <c r="G23" s="3">
        <v>9</v>
      </c>
      <c r="H23" s="3" t="s">
        <v>70</v>
      </c>
    </row>
    <row r="24" spans="1:14" x14ac:dyDescent="0.25">
      <c r="A24" s="3" t="s">
        <v>103</v>
      </c>
      <c r="B24" s="3" t="s">
        <v>114</v>
      </c>
      <c r="C24" s="3" t="s">
        <v>126</v>
      </c>
      <c r="D24" s="3" t="s">
        <v>137</v>
      </c>
      <c r="E24" s="3"/>
      <c r="F24" s="3" t="s">
        <v>150</v>
      </c>
      <c r="G24" s="3">
        <v>10</v>
      </c>
      <c r="H24" s="3" t="s">
        <v>161</v>
      </c>
    </row>
    <row r="25" spans="1:14" x14ac:dyDescent="0.25">
      <c r="A25" s="3" t="s">
        <v>104</v>
      </c>
      <c r="B25" s="3" t="s">
        <v>115</v>
      </c>
      <c r="C25" s="3" t="s">
        <v>127</v>
      </c>
      <c r="D25" s="3" t="s">
        <v>138</v>
      </c>
      <c r="E25" s="3"/>
      <c r="F25" s="3" t="s">
        <v>151</v>
      </c>
      <c r="G25" s="3">
        <v>11</v>
      </c>
      <c r="H25" s="3" t="s">
        <v>157</v>
      </c>
    </row>
    <row r="26" spans="1:14" x14ac:dyDescent="0.25">
      <c r="A26" s="3" t="s">
        <v>105</v>
      </c>
      <c r="B26" s="3" t="s">
        <v>116</v>
      </c>
      <c r="C26" s="3" t="s">
        <v>128</v>
      </c>
      <c r="D26" s="3" t="s">
        <v>139</v>
      </c>
      <c r="E26" s="3"/>
      <c r="F26" s="3" t="s">
        <v>152</v>
      </c>
      <c r="G26" s="3">
        <v>12</v>
      </c>
      <c r="H26" s="3" t="s">
        <v>162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2BDE-A20C-4A96-930E-6D6B60FD7C33}">
  <sheetPr codeName="Sheet2"/>
  <dimension ref="A1:N26"/>
  <sheetViews>
    <sheetView topLeftCell="A10" workbookViewId="0">
      <selection activeCell="J25" sqref="J25"/>
    </sheetView>
  </sheetViews>
  <sheetFormatPr defaultRowHeight="15" x14ac:dyDescent="0.25"/>
  <cols>
    <col min="1" max="3" width="24.5" style="1" bestFit="1" customWidth="1"/>
    <col min="4" max="4" width="16.6640625" style="1" bestFit="1" customWidth="1"/>
    <col min="5" max="5" width="4.5" style="1" bestFit="1" customWidth="1"/>
    <col min="6" max="6" width="15.1640625" style="1" bestFit="1" customWidth="1"/>
    <col min="7" max="8" width="4.5" style="1" bestFit="1" customWidth="1"/>
    <col min="9" max="9" width="3" style="1" bestFit="1" customWidth="1"/>
    <col min="10" max="10" width="27.6640625" style="1" bestFit="1" customWidth="1"/>
    <col min="11" max="13" width="9.33203125" style="1"/>
    <col min="14" max="14" width="10.5" style="1" bestFit="1" customWidth="1"/>
    <col min="15" max="16384" width="9.33203125" style="1"/>
  </cols>
  <sheetData>
    <row r="1" spans="1:14" x14ac:dyDescent="0.25">
      <c r="A1" s="3"/>
      <c r="B1" s="3" t="s">
        <v>38</v>
      </c>
      <c r="C1" s="3" t="s">
        <v>27</v>
      </c>
      <c r="D1" s="3" t="s">
        <v>16</v>
      </c>
      <c r="E1" s="3" t="s">
        <v>1</v>
      </c>
      <c r="F1" s="3" t="s">
        <v>2</v>
      </c>
      <c r="G1" s="3" t="s">
        <v>74</v>
      </c>
      <c r="H1" s="3" t="s">
        <v>59</v>
      </c>
      <c r="I1" s="3" t="s">
        <v>85</v>
      </c>
      <c r="J1" s="1" t="s">
        <v>163</v>
      </c>
    </row>
    <row r="2" spans="1:14" x14ac:dyDescent="0.25">
      <c r="A2" s="3" t="s">
        <v>49</v>
      </c>
      <c r="B2" s="3"/>
      <c r="C2" s="3" t="s">
        <v>28</v>
      </c>
      <c r="D2" s="3" t="s">
        <v>17</v>
      </c>
      <c r="E2" s="3" t="s">
        <v>88</v>
      </c>
      <c r="F2" s="3" t="s">
        <v>3</v>
      </c>
      <c r="G2" s="3" t="s">
        <v>75</v>
      </c>
      <c r="H2" s="3" t="s">
        <v>60</v>
      </c>
      <c r="I2" s="3" t="s">
        <v>83</v>
      </c>
      <c r="J2" s="1" t="s">
        <v>163</v>
      </c>
    </row>
    <row r="3" spans="1:14" x14ac:dyDescent="0.25">
      <c r="A3" s="3" t="s">
        <v>50</v>
      </c>
      <c r="B3" s="3" t="s">
        <v>39</v>
      </c>
      <c r="C3" s="3"/>
      <c r="D3" s="3" t="s">
        <v>18</v>
      </c>
      <c r="E3" s="3" t="s">
        <v>89</v>
      </c>
      <c r="F3" s="3" t="s">
        <v>4</v>
      </c>
      <c r="G3" s="3" t="s">
        <v>76</v>
      </c>
      <c r="H3" s="3" t="s">
        <v>61</v>
      </c>
      <c r="I3" s="3" t="s">
        <v>84</v>
      </c>
      <c r="J3" s="1" t="s">
        <v>163</v>
      </c>
    </row>
    <row r="4" spans="1:14" x14ac:dyDescent="0.25">
      <c r="A4" s="3" t="s">
        <v>51</v>
      </c>
      <c r="B4" s="3" t="s">
        <v>40</v>
      </c>
      <c r="C4" s="3" t="s">
        <v>29</v>
      </c>
      <c r="D4" s="3"/>
      <c r="E4" s="3" t="s">
        <v>15</v>
      </c>
      <c r="F4" s="3" t="s">
        <v>5</v>
      </c>
      <c r="G4" s="3" t="s">
        <v>77</v>
      </c>
      <c r="H4" s="3" t="s">
        <v>62</v>
      </c>
      <c r="I4" s="3" t="s">
        <v>86</v>
      </c>
      <c r="J4" s="1" t="s">
        <v>163</v>
      </c>
    </row>
    <row r="5" spans="1:14" x14ac:dyDescent="0.25">
      <c r="A5" s="3" t="s">
        <v>0</v>
      </c>
      <c r="B5" s="3" t="s">
        <v>41</v>
      </c>
      <c r="C5" s="3" t="s">
        <v>30</v>
      </c>
      <c r="D5" s="3" t="s">
        <v>19</v>
      </c>
      <c r="E5" s="3" t="s">
        <v>13</v>
      </c>
      <c r="F5" s="3" t="s">
        <v>6</v>
      </c>
      <c r="G5" s="3" t="s">
        <v>72</v>
      </c>
      <c r="H5" s="3" t="s">
        <v>63</v>
      </c>
      <c r="I5" s="3" t="s">
        <v>87</v>
      </c>
      <c r="J5" s="1" t="s">
        <v>164</v>
      </c>
    </row>
    <row r="6" spans="1:14" x14ac:dyDescent="0.25">
      <c r="A6" s="3" t="s">
        <v>52</v>
      </c>
      <c r="B6" s="3" t="s">
        <v>42</v>
      </c>
      <c r="C6" s="3" t="s">
        <v>31</v>
      </c>
      <c r="D6" s="3" t="s">
        <v>20</v>
      </c>
      <c r="E6" s="3" t="s">
        <v>14</v>
      </c>
      <c r="F6" s="3" t="s">
        <v>93</v>
      </c>
      <c r="G6" s="3" t="s">
        <v>78</v>
      </c>
      <c r="H6" s="3" t="s">
        <v>64</v>
      </c>
      <c r="I6" s="3" t="s">
        <v>92</v>
      </c>
      <c r="J6" s="1" t="s">
        <v>165</v>
      </c>
    </row>
    <row r="7" spans="1:14" x14ac:dyDescent="0.25">
      <c r="A7" s="3" t="s">
        <v>53</v>
      </c>
      <c r="B7" s="3" t="s">
        <v>43</v>
      </c>
      <c r="C7" s="3" t="s">
        <v>32</v>
      </c>
      <c r="D7" s="3" t="s">
        <v>21</v>
      </c>
      <c r="E7" s="3" t="s">
        <v>90</v>
      </c>
      <c r="F7" s="3" t="s">
        <v>7</v>
      </c>
      <c r="G7" s="3" t="s">
        <v>79</v>
      </c>
      <c r="H7" s="3" t="s">
        <v>65</v>
      </c>
      <c r="I7" s="3"/>
      <c r="J7" s="1" t="s">
        <v>166</v>
      </c>
    </row>
    <row r="8" spans="1:14" x14ac:dyDescent="0.25">
      <c r="A8" s="3" t="s">
        <v>54</v>
      </c>
      <c r="B8" s="3" t="s">
        <v>44</v>
      </c>
      <c r="C8" s="3" t="s">
        <v>33</v>
      </c>
      <c r="D8" s="3" t="s">
        <v>22</v>
      </c>
      <c r="E8" s="3" t="s">
        <v>91</v>
      </c>
      <c r="F8" s="3" t="s">
        <v>8</v>
      </c>
      <c r="G8" s="3" t="s">
        <v>80</v>
      </c>
      <c r="H8" s="3" t="s">
        <v>66</v>
      </c>
      <c r="I8" s="3"/>
      <c r="J8" s="1" t="s">
        <v>167</v>
      </c>
    </row>
    <row r="9" spans="1:14" x14ac:dyDescent="0.25">
      <c r="A9" s="3" t="s">
        <v>55</v>
      </c>
      <c r="B9" s="3" t="s">
        <v>45</v>
      </c>
      <c r="C9" s="3" t="s">
        <v>34</v>
      </c>
      <c r="D9" s="3" t="s">
        <v>23</v>
      </c>
      <c r="E9" s="3"/>
      <c r="F9" s="3" t="s">
        <v>9</v>
      </c>
      <c r="G9" s="3" t="s">
        <v>81</v>
      </c>
      <c r="H9" s="3" t="s">
        <v>67</v>
      </c>
      <c r="I9" s="3"/>
      <c r="J9" s="1" t="s">
        <v>168</v>
      </c>
    </row>
    <row r="10" spans="1:14" x14ac:dyDescent="0.25">
      <c r="A10" s="3" t="s">
        <v>56</v>
      </c>
      <c r="B10" s="3" t="s">
        <v>46</v>
      </c>
      <c r="C10" s="3" t="s">
        <v>35</v>
      </c>
      <c r="D10" s="3" t="s">
        <v>24</v>
      </c>
      <c r="E10" s="3"/>
      <c r="F10" s="3" t="s">
        <v>10</v>
      </c>
      <c r="G10" s="3" t="s">
        <v>73</v>
      </c>
      <c r="H10" s="3" t="s">
        <v>68</v>
      </c>
      <c r="I10" s="3"/>
      <c r="N10" s="2"/>
    </row>
    <row r="11" spans="1:14" x14ac:dyDescent="0.25">
      <c r="A11" s="3" t="s">
        <v>57</v>
      </c>
      <c r="B11" s="3" t="s">
        <v>47</v>
      </c>
      <c r="C11" s="3" t="s">
        <v>36</v>
      </c>
      <c r="D11" s="3" t="s">
        <v>25</v>
      </c>
      <c r="E11" s="3"/>
      <c r="F11" s="3" t="s">
        <v>11</v>
      </c>
      <c r="G11" s="3" t="s">
        <v>71</v>
      </c>
      <c r="H11" s="3" t="s">
        <v>69</v>
      </c>
      <c r="I11" s="3"/>
      <c r="N11" s="2"/>
    </row>
    <row r="12" spans="1:14" x14ac:dyDescent="0.25">
      <c r="A12" s="3" t="s">
        <v>58</v>
      </c>
      <c r="B12" s="3" t="s">
        <v>48</v>
      </c>
      <c r="C12" s="3" t="s">
        <v>37</v>
      </c>
      <c r="D12" s="3" t="s">
        <v>26</v>
      </c>
      <c r="E12" s="3"/>
      <c r="F12" s="3" t="s">
        <v>12</v>
      </c>
      <c r="G12" s="3" t="s">
        <v>82</v>
      </c>
      <c r="H12" s="3" t="s">
        <v>70</v>
      </c>
      <c r="I12" s="3"/>
      <c r="N12" s="2"/>
    </row>
    <row r="13" spans="1:14" x14ac:dyDescent="0.25">
      <c r="D13" s="3"/>
      <c r="G13" s="1">
        <v>13</v>
      </c>
      <c r="N13" s="2"/>
    </row>
    <row r="14" spans="1:14" x14ac:dyDescent="0.25">
      <c r="D14" s="3"/>
      <c r="N14" s="2"/>
    </row>
    <row r="15" spans="1:14" x14ac:dyDescent="0.25">
      <c r="A15" s="3" t="s">
        <v>94</v>
      </c>
      <c r="B15" s="3" t="s">
        <v>106</v>
      </c>
      <c r="C15" s="3" t="s">
        <v>117</v>
      </c>
      <c r="D15" s="3" t="s">
        <v>26</v>
      </c>
      <c r="E15" s="3" t="s">
        <v>1</v>
      </c>
      <c r="F15" s="3" t="s">
        <v>141</v>
      </c>
      <c r="G15" s="3">
        <v>1</v>
      </c>
      <c r="H15" s="3" t="s">
        <v>153</v>
      </c>
      <c r="I15" s="1" t="s">
        <v>85</v>
      </c>
      <c r="N15" s="2"/>
    </row>
    <row r="16" spans="1:14" x14ac:dyDescent="0.25">
      <c r="A16" s="3" t="s">
        <v>95</v>
      </c>
      <c r="B16" s="3" t="s">
        <v>107</v>
      </c>
      <c r="C16" s="3" t="s">
        <v>118</v>
      </c>
      <c r="D16" s="3" t="s">
        <v>129</v>
      </c>
      <c r="E16" s="3" t="s">
        <v>88</v>
      </c>
      <c r="F16" s="3" t="s">
        <v>142</v>
      </c>
      <c r="G16" s="3">
        <v>2</v>
      </c>
      <c r="H16" s="3" t="s">
        <v>154</v>
      </c>
      <c r="I16" s="1" t="s">
        <v>83</v>
      </c>
      <c r="N16" s="2"/>
    </row>
    <row r="17" spans="1:14" x14ac:dyDescent="0.25">
      <c r="A17" s="3" t="s">
        <v>96</v>
      </c>
      <c r="B17" s="3" t="s">
        <v>108</v>
      </c>
      <c r="C17" s="3" t="s">
        <v>119</v>
      </c>
      <c r="D17" s="3" t="s">
        <v>130</v>
      </c>
      <c r="E17" s="3" t="s">
        <v>140</v>
      </c>
      <c r="F17" s="3" t="s">
        <v>143</v>
      </c>
      <c r="G17" s="3">
        <v>3</v>
      </c>
      <c r="H17" s="3" t="s">
        <v>155</v>
      </c>
      <c r="I17" s="1" t="s">
        <v>84</v>
      </c>
      <c r="N17" s="2"/>
    </row>
    <row r="18" spans="1:14" x14ac:dyDescent="0.25">
      <c r="A18" s="3" t="s">
        <v>97</v>
      </c>
      <c r="B18" s="3" t="s">
        <v>109</v>
      </c>
      <c r="C18" s="3" t="s">
        <v>120</v>
      </c>
      <c r="D18" s="3" t="s">
        <v>131</v>
      </c>
      <c r="E18" s="3" t="s">
        <v>15</v>
      </c>
      <c r="F18" s="3" t="s">
        <v>144</v>
      </c>
      <c r="G18" s="3">
        <v>4</v>
      </c>
      <c r="H18" s="3" t="s">
        <v>156</v>
      </c>
      <c r="I18" s="1" t="s">
        <v>86</v>
      </c>
      <c r="N18" s="2"/>
    </row>
    <row r="19" spans="1:14" x14ac:dyDescent="0.25">
      <c r="A19" s="3" t="s">
        <v>98</v>
      </c>
      <c r="B19" s="3" t="s">
        <v>110</v>
      </c>
      <c r="C19" s="3" t="s">
        <v>121</v>
      </c>
      <c r="D19" s="3" t="s">
        <v>132</v>
      </c>
      <c r="E19" s="3" t="s">
        <v>90</v>
      </c>
      <c r="F19" s="3" t="s">
        <v>145</v>
      </c>
      <c r="G19" s="3">
        <v>5</v>
      </c>
      <c r="H19" s="3" t="s">
        <v>157</v>
      </c>
      <c r="I19" s="1" t="s">
        <v>87</v>
      </c>
      <c r="N19" s="2"/>
    </row>
    <row r="20" spans="1:14" x14ac:dyDescent="0.25">
      <c r="A20" s="3" t="s">
        <v>99</v>
      </c>
      <c r="B20" s="3" t="s">
        <v>111</v>
      </c>
      <c r="C20" s="3" t="s">
        <v>122</v>
      </c>
      <c r="D20" s="3" t="s">
        <v>133</v>
      </c>
      <c r="E20" s="3" t="s">
        <v>91</v>
      </c>
      <c r="F20" s="3" t="s">
        <v>146</v>
      </c>
      <c r="G20" s="3">
        <v>6</v>
      </c>
      <c r="H20" s="3" t="s">
        <v>158</v>
      </c>
      <c r="I20" s="1" t="s">
        <v>85</v>
      </c>
    </row>
    <row r="21" spans="1:14" x14ac:dyDescent="0.25">
      <c r="A21" s="3" t="s">
        <v>100</v>
      </c>
      <c r="B21" s="3" t="s">
        <v>112</v>
      </c>
      <c r="C21" s="3" t="s">
        <v>123</v>
      </c>
      <c r="D21" s="3" t="s">
        <v>134</v>
      </c>
      <c r="E21" s="3"/>
      <c r="F21" s="3" t="s">
        <v>147</v>
      </c>
      <c r="G21" s="3">
        <v>7</v>
      </c>
      <c r="H21" s="3" t="s">
        <v>159</v>
      </c>
      <c r="I21" s="1" t="s">
        <v>83</v>
      </c>
    </row>
    <row r="22" spans="1:14" x14ac:dyDescent="0.25">
      <c r="A22" s="3" t="s">
        <v>101</v>
      </c>
      <c r="B22" s="3" t="s">
        <v>113</v>
      </c>
      <c r="C22" s="3" t="s">
        <v>124</v>
      </c>
      <c r="D22" s="3" t="s">
        <v>135</v>
      </c>
      <c r="E22" s="3"/>
      <c r="F22" s="3" t="s">
        <v>148</v>
      </c>
      <c r="G22" s="3">
        <v>8</v>
      </c>
      <c r="H22" s="3" t="s">
        <v>160</v>
      </c>
      <c r="I22" s="1" t="s">
        <v>84</v>
      </c>
    </row>
    <row r="23" spans="1:14" x14ac:dyDescent="0.25">
      <c r="A23" s="3" t="s">
        <v>102</v>
      </c>
      <c r="B23" s="3" t="s">
        <v>47</v>
      </c>
      <c r="C23" s="3" t="s">
        <v>125</v>
      </c>
      <c r="D23" s="3" t="s">
        <v>136</v>
      </c>
      <c r="E23" s="3"/>
      <c r="F23" s="3" t="s">
        <v>149</v>
      </c>
      <c r="G23" s="3">
        <v>9</v>
      </c>
      <c r="H23" s="3" t="s">
        <v>70</v>
      </c>
      <c r="I23" s="1" t="s">
        <v>86</v>
      </c>
    </row>
    <row r="24" spans="1:14" x14ac:dyDescent="0.25">
      <c r="A24" s="3" t="s">
        <v>103</v>
      </c>
      <c r="B24" s="3" t="s">
        <v>114</v>
      </c>
      <c r="C24" s="3" t="s">
        <v>126</v>
      </c>
      <c r="D24" s="3" t="s">
        <v>137</v>
      </c>
      <c r="E24" s="3"/>
      <c r="F24" s="3" t="s">
        <v>150</v>
      </c>
      <c r="G24" s="3">
        <v>10</v>
      </c>
      <c r="H24" s="3" t="s">
        <v>161</v>
      </c>
      <c r="I24" s="1" t="s">
        <v>87</v>
      </c>
    </row>
    <row r="25" spans="1:14" x14ac:dyDescent="0.25">
      <c r="A25" s="3" t="s">
        <v>104</v>
      </c>
      <c r="B25" s="3" t="s">
        <v>115</v>
      </c>
      <c r="C25" s="3" t="s">
        <v>127</v>
      </c>
      <c r="D25" s="3" t="s">
        <v>138</v>
      </c>
      <c r="E25" s="3"/>
      <c r="F25" s="3" t="s">
        <v>151</v>
      </c>
      <c r="G25" s="3">
        <v>11</v>
      </c>
      <c r="H25" s="3" t="s">
        <v>157</v>
      </c>
      <c r="I25" s="1" t="s">
        <v>85</v>
      </c>
    </row>
    <row r="26" spans="1:14" x14ac:dyDescent="0.25">
      <c r="A26" s="3" t="s">
        <v>105</v>
      </c>
      <c r="B26" s="3" t="s">
        <v>116</v>
      </c>
      <c r="C26" s="3" t="s">
        <v>128</v>
      </c>
      <c r="D26" s="3" t="s">
        <v>139</v>
      </c>
      <c r="E26" s="3"/>
      <c r="F26" s="3" t="s">
        <v>152</v>
      </c>
      <c r="G26" s="3">
        <v>12</v>
      </c>
      <c r="H26" s="3" t="s">
        <v>162</v>
      </c>
      <c r="I26" s="1" t="s">
        <v>83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96DBE-BE6A-48F2-AE96-DE6B25F73C63}">
  <dimension ref="A1:G13"/>
  <sheetViews>
    <sheetView workbookViewId="0">
      <selection activeCell="G19" sqref="G19"/>
    </sheetView>
  </sheetViews>
  <sheetFormatPr defaultRowHeight="12.75" x14ac:dyDescent="0.2"/>
  <cols>
    <col min="1" max="1" width="14" bestFit="1" customWidth="1"/>
    <col min="7" max="7" width="14.6640625" bestFit="1" customWidth="1"/>
  </cols>
  <sheetData>
    <row r="1" spans="1:7" x14ac:dyDescent="0.2">
      <c r="A1" t="s">
        <v>169</v>
      </c>
      <c r="G1" t="s">
        <v>179</v>
      </c>
    </row>
    <row r="2" spans="1:7" x14ac:dyDescent="0.2">
      <c r="A2" t="s">
        <v>170</v>
      </c>
      <c r="G2" t="s">
        <v>180</v>
      </c>
    </row>
    <row r="3" spans="1:7" x14ac:dyDescent="0.2">
      <c r="A3" t="s">
        <v>171</v>
      </c>
      <c r="G3" t="s">
        <v>181</v>
      </c>
    </row>
    <row r="4" spans="1:7" x14ac:dyDescent="0.2">
      <c r="A4" t="s">
        <v>172</v>
      </c>
      <c r="G4" t="s">
        <v>182</v>
      </c>
    </row>
    <row r="5" spans="1:7" x14ac:dyDescent="0.2">
      <c r="A5" t="s">
        <v>173</v>
      </c>
      <c r="G5" t="s">
        <v>183</v>
      </c>
    </row>
    <row r="6" spans="1:7" x14ac:dyDescent="0.2">
      <c r="A6" t="s">
        <v>174</v>
      </c>
      <c r="G6" t="s">
        <v>184</v>
      </c>
    </row>
    <row r="7" spans="1:7" x14ac:dyDescent="0.2">
      <c r="A7" t="s">
        <v>175</v>
      </c>
      <c r="G7" t="s">
        <v>185</v>
      </c>
    </row>
    <row r="8" spans="1:7" x14ac:dyDescent="0.2">
      <c r="A8" t="s">
        <v>176</v>
      </c>
      <c r="G8" t="s">
        <v>186</v>
      </c>
    </row>
    <row r="9" spans="1:7" x14ac:dyDescent="0.2">
      <c r="A9" t="s">
        <v>177</v>
      </c>
      <c r="G9" t="s">
        <v>187</v>
      </c>
    </row>
    <row r="10" spans="1:7" x14ac:dyDescent="0.2">
      <c r="A10" t="s">
        <v>178</v>
      </c>
      <c r="G10" t="s">
        <v>188</v>
      </c>
    </row>
    <row r="13" spans="1:7" x14ac:dyDescent="0.2">
      <c r="A13" t="s">
        <v>189</v>
      </c>
      <c r="B13" s="4">
        <v>9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67D65-5866-4EF2-AF42-77EB3A36DDBF}">
  <dimension ref="A1:AC25"/>
  <sheetViews>
    <sheetView tabSelected="1" topLeftCell="A10" workbookViewId="0">
      <selection activeCell="D24" sqref="D24"/>
    </sheetView>
  </sheetViews>
  <sheetFormatPr defaultRowHeight="12.75" x14ac:dyDescent="0.2"/>
  <cols>
    <col min="1" max="1" width="24.5" bestFit="1" customWidth="1"/>
    <col min="2" max="2" width="10.1640625" bestFit="1" customWidth="1"/>
    <col min="4" max="4" width="24.5" bestFit="1" customWidth="1"/>
    <col min="7" max="7" width="16.6640625" bestFit="1" customWidth="1"/>
    <col min="13" max="13" width="15.1640625" bestFit="1" customWidth="1"/>
    <col min="22" max="22" width="18.33203125" bestFit="1" customWidth="1"/>
    <col min="23" max="23" width="12.5" bestFit="1" customWidth="1"/>
    <col min="24" max="24" width="10.5" bestFit="1" customWidth="1"/>
    <col min="25" max="25" width="10.6640625" customWidth="1"/>
  </cols>
  <sheetData>
    <row r="1" spans="1:29" ht="15" x14ac:dyDescent="0.25">
      <c r="A1" s="6" t="s">
        <v>190</v>
      </c>
      <c r="D1" s="6" t="s">
        <v>191</v>
      </c>
      <c r="G1" s="5" t="s">
        <v>192</v>
      </c>
      <c r="J1" s="5" t="s">
        <v>193</v>
      </c>
      <c r="M1" s="5" t="s">
        <v>194</v>
      </c>
      <c r="P1" s="5" t="s">
        <v>195</v>
      </c>
      <c r="S1" s="5" t="s">
        <v>196</v>
      </c>
      <c r="V1" s="3" t="s">
        <v>197</v>
      </c>
      <c r="W1" s="5" t="s">
        <v>199</v>
      </c>
      <c r="Y1" s="5" t="s">
        <v>198</v>
      </c>
    </row>
    <row r="2" spans="1:29" ht="15" x14ac:dyDescent="0.25">
      <c r="V2" s="3"/>
    </row>
    <row r="3" spans="1:29" ht="15" x14ac:dyDescent="0.25">
      <c r="A3" s="3" t="s">
        <v>94</v>
      </c>
      <c r="D3" s="3" t="s">
        <v>106</v>
      </c>
      <c r="G3" s="3" t="s">
        <v>26</v>
      </c>
      <c r="J3" s="3" t="s">
        <v>1</v>
      </c>
      <c r="M3" s="3" t="s">
        <v>141</v>
      </c>
      <c r="P3" s="3">
        <v>1</v>
      </c>
      <c r="S3" s="3" t="s">
        <v>153</v>
      </c>
      <c r="V3" s="7">
        <v>0.05</v>
      </c>
      <c r="W3" s="9">
        <v>18.71</v>
      </c>
      <c r="Y3" s="9">
        <f>S3*24*V3+W3*S3</f>
        <v>876.04</v>
      </c>
      <c r="Z3" s="5" t="s">
        <v>200</v>
      </c>
      <c r="AA3" s="4"/>
      <c r="AB3" s="4"/>
      <c r="AC3" s="4"/>
    </row>
    <row r="4" spans="1:29" ht="15" x14ac:dyDescent="0.25">
      <c r="A4" s="3" t="s">
        <v>95</v>
      </c>
      <c r="D4" s="3" t="s">
        <v>107</v>
      </c>
      <c r="G4" s="3" t="s">
        <v>129</v>
      </c>
      <c r="J4" s="3" t="s">
        <v>88</v>
      </c>
      <c r="M4" s="3" t="s">
        <v>142</v>
      </c>
      <c r="P4" s="3">
        <v>2</v>
      </c>
      <c r="S4" s="3" t="s">
        <v>154</v>
      </c>
      <c r="V4" s="7">
        <v>0.1</v>
      </c>
      <c r="W4" s="9">
        <v>18.71</v>
      </c>
      <c r="Y4" s="9">
        <f t="shared" ref="Y4:Y14" si="0">S4*24*V4+W4*S4</f>
        <v>907.73000000000013</v>
      </c>
      <c r="Z4" s="5" t="s">
        <v>200</v>
      </c>
    </row>
    <row r="5" spans="1:29" ht="15" x14ac:dyDescent="0.25">
      <c r="A5" s="3" t="s">
        <v>96</v>
      </c>
      <c r="D5" s="3" t="s">
        <v>108</v>
      </c>
      <c r="G5" s="3" t="s">
        <v>130</v>
      </c>
      <c r="J5" s="3" t="s">
        <v>140</v>
      </c>
      <c r="M5" s="3" t="s">
        <v>143</v>
      </c>
      <c r="P5" s="3">
        <v>3</v>
      </c>
      <c r="S5" s="3" t="s">
        <v>155</v>
      </c>
      <c r="V5" s="7">
        <v>0.1</v>
      </c>
      <c r="W5" s="9">
        <v>18.71</v>
      </c>
      <c r="Y5" s="9">
        <f t="shared" si="0"/>
        <v>654.41</v>
      </c>
      <c r="Z5" s="5" t="s">
        <v>200</v>
      </c>
    </row>
    <row r="6" spans="1:29" ht="15" x14ac:dyDescent="0.25">
      <c r="A6" s="3" t="s">
        <v>97</v>
      </c>
      <c r="D6" s="3" t="s">
        <v>109</v>
      </c>
      <c r="G6" s="3" t="s">
        <v>131</v>
      </c>
      <c r="J6" s="3" t="s">
        <v>15</v>
      </c>
      <c r="M6" s="3" t="s">
        <v>144</v>
      </c>
      <c r="P6" s="3">
        <v>4</v>
      </c>
      <c r="S6" s="3" t="s">
        <v>156</v>
      </c>
      <c r="V6" s="7">
        <v>0.1</v>
      </c>
      <c r="W6" s="9">
        <v>18.71</v>
      </c>
      <c r="Y6" s="9">
        <f t="shared" si="0"/>
        <v>337.76</v>
      </c>
      <c r="Z6" s="5" t="s">
        <v>200</v>
      </c>
    </row>
    <row r="7" spans="1:29" ht="15" x14ac:dyDescent="0.25">
      <c r="A7" s="3" t="s">
        <v>98</v>
      </c>
      <c r="D7" s="3" t="s">
        <v>110</v>
      </c>
      <c r="G7" s="3" t="s">
        <v>132</v>
      </c>
      <c r="J7" s="3" t="s">
        <v>90</v>
      </c>
      <c r="M7" s="3" t="s">
        <v>145</v>
      </c>
      <c r="P7" s="3">
        <v>5</v>
      </c>
      <c r="S7" s="3" t="s">
        <v>157</v>
      </c>
      <c r="V7" s="7">
        <v>0.05</v>
      </c>
      <c r="W7" s="9">
        <v>18.71</v>
      </c>
      <c r="Y7" s="9">
        <f t="shared" si="0"/>
        <v>716.7600000000001</v>
      </c>
      <c r="Z7" s="5" t="s">
        <v>200</v>
      </c>
    </row>
    <row r="8" spans="1:29" ht="15" x14ac:dyDescent="0.25">
      <c r="A8" s="3" t="s">
        <v>99</v>
      </c>
      <c r="D8" s="3" t="s">
        <v>111</v>
      </c>
      <c r="G8" s="3" t="s">
        <v>133</v>
      </c>
      <c r="J8" s="3" t="s">
        <v>91</v>
      </c>
      <c r="M8" s="3" t="s">
        <v>146</v>
      </c>
      <c r="P8" s="3">
        <v>6</v>
      </c>
      <c r="S8" s="3" t="s">
        <v>158</v>
      </c>
      <c r="V8" s="7">
        <v>0.05</v>
      </c>
      <c r="W8" s="9">
        <v>18.71</v>
      </c>
      <c r="Y8" s="9">
        <f t="shared" si="0"/>
        <v>696.85</v>
      </c>
      <c r="Z8" s="5" t="s">
        <v>200</v>
      </c>
    </row>
    <row r="9" spans="1:29" ht="15" x14ac:dyDescent="0.25">
      <c r="A9" s="3" t="s">
        <v>100</v>
      </c>
      <c r="D9" s="3" t="s">
        <v>112</v>
      </c>
      <c r="G9" s="3" t="s">
        <v>134</v>
      </c>
      <c r="M9" s="3" t="s">
        <v>147</v>
      </c>
      <c r="P9" s="3">
        <v>7</v>
      </c>
      <c r="S9" s="3" t="s">
        <v>159</v>
      </c>
      <c r="V9" s="7"/>
      <c r="W9" s="9">
        <v>18.71</v>
      </c>
      <c r="Y9" s="9">
        <f t="shared" si="0"/>
        <v>149.68</v>
      </c>
      <c r="Z9" s="5" t="s">
        <v>200</v>
      </c>
    </row>
    <row r="10" spans="1:29" ht="15" x14ac:dyDescent="0.25">
      <c r="A10" s="3" t="s">
        <v>101</v>
      </c>
      <c r="D10" s="3" t="s">
        <v>113</v>
      </c>
      <c r="G10" s="3" t="s">
        <v>135</v>
      </c>
      <c r="M10" s="3" t="s">
        <v>148</v>
      </c>
      <c r="P10" s="3">
        <v>8</v>
      </c>
      <c r="S10" s="3" t="s">
        <v>160</v>
      </c>
      <c r="V10" s="7"/>
      <c r="W10" s="9">
        <v>18.71</v>
      </c>
      <c r="Y10" s="9">
        <f t="shared" si="0"/>
        <v>1160.02</v>
      </c>
      <c r="Z10" s="5" t="s">
        <v>200</v>
      </c>
    </row>
    <row r="11" spans="1:29" ht="15" x14ac:dyDescent="0.25">
      <c r="A11" s="3" t="s">
        <v>102</v>
      </c>
      <c r="D11" s="3" t="s">
        <v>47</v>
      </c>
      <c r="G11" s="3" t="s">
        <v>136</v>
      </c>
      <c r="M11" s="3" t="s">
        <v>149</v>
      </c>
      <c r="P11" s="3">
        <v>9</v>
      </c>
      <c r="S11" s="3" t="s">
        <v>70</v>
      </c>
      <c r="V11" s="7"/>
      <c r="W11" s="9">
        <v>18.71</v>
      </c>
      <c r="Y11" s="9">
        <f t="shared" si="0"/>
        <v>1683.9</v>
      </c>
      <c r="Z11" s="5" t="s">
        <v>200</v>
      </c>
    </row>
    <row r="12" spans="1:29" ht="15" x14ac:dyDescent="0.25">
      <c r="A12" s="3" t="s">
        <v>103</v>
      </c>
      <c r="D12" s="3" t="s">
        <v>114</v>
      </c>
      <c r="G12" s="3" t="s">
        <v>137</v>
      </c>
      <c r="M12" s="3" t="s">
        <v>150</v>
      </c>
      <c r="P12" s="3">
        <v>10</v>
      </c>
      <c r="S12" s="3" t="s">
        <v>161</v>
      </c>
      <c r="V12" s="7"/>
      <c r="W12" s="9">
        <v>18.71</v>
      </c>
      <c r="Y12" s="9">
        <f t="shared" si="0"/>
        <v>1814.8700000000001</v>
      </c>
      <c r="Z12" s="5" t="s">
        <v>200</v>
      </c>
    </row>
    <row r="13" spans="1:29" ht="15" x14ac:dyDescent="0.25">
      <c r="A13" s="3" t="s">
        <v>104</v>
      </c>
      <c r="D13" s="3" t="s">
        <v>115</v>
      </c>
      <c r="G13" s="3" t="s">
        <v>138</v>
      </c>
      <c r="M13" s="3" t="s">
        <v>151</v>
      </c>
      <c r="P13" s="3">
        <v>11</v>
      </c>
      <c r="S13" s="3" t="s">
        <v>157</v>
      </c>
      <c r="V13" s="8"/>
      <c r="W13" s="9">
        <v>18.71</v>
      </c>
      <c r="Y13" s="9">
        <f t="shared" si="0"/>
        <v>673.56000000000006</v>
      </c>
      <c r="Z13" s="5" t="s">
        <v>200</v>
      </c>
    </row>
    <row r="14" spans="1:29" ht="15" x14ac:dyDescent="0.25">
      <c r="A14" s="3" t="s">
        <v>105</v>
      </c>
      <c r="D14" s="3" t="s">
        <v>116</v>
      </c>
      <c r="G14" s="3" t="s">
        <v>139</v>
      </c>
      <c r="M14" s="3" t="s">
        <v>152</v>
      </c>
      <c r="P14" s="3">
        <v>12</v>
      </c>
      <c r="S14" s="3" t="s">
        <v>162</v>
      </c>
      <c r="V14" s="8"/>
      <c r="W14" s="9">
        <v>18.71</v>
      </c>
      <c r="Y14" s="9">
        <f t="shared" si="0"/>
        <v>374.20000000000005</v>
      </c>
      <c r="Z14" s="5" t="s">
        <v>200</v>
      </c>
    </row>
    <row r="17" spans="1:25" x14ac:dyDescent="0.2">
      <c r="A17" s="5" t="s">
        <v>201</v>
      </c>
      <c r="B17" s="9">
        <f>SUM(Y3:Y14)</f>
        <v>10045.780000000001</v>
      </c>
      <c r="X17" s="5"/>
      <c r="Y17" s="9"/>
    </row>
    <row r="20" spans="1:25" x14ac:dyDescent="0.2">
      <c r="A20" s="5" t="s">
        <v>208</v>
      </c>
    </row>
    <row r="21" spans="1:25" x14ac:dyDescent="0.2">
      <c r="A21" s="5" t="s">
        <v>202</v>
      </c>
      <c r="B21" s="9">
        <f>Y3+Y8+Y13</f>
        <v>2246.4499999999998</v>
      </c>
    </row>
    <row r="22" spans="1:25" x14ac:dyDescent="0.2">
      <c r="A22" s="5" t="s">
        <v>203</v>
      </c>
      <c r="B22" s="9">
        <f>Y4+Y9+Y14</f>
        <v>1431.6100000000001</v>
      </c>
    </row>
    <row r="23" spans="1:25" x14ac:dyDescent="0.2">
      <c r="A23" s="5" t="s">
        <v>204</v>
      </c>
      <c r="B23" s="9">
        <f>Y5+Y10</f>
        <v>1814.4299999999998</v>
      </c>
    </row>
    <row r="24" spans="1:25" x14ac:dyDescent="0.2">
      <c r="A24" s="5" t="s">
        <v>205</v>
      </c>
      <c r="B24" s="9">
        <f>Y6+Y11</f>
        <v>2021.66</v>
      </c>
    </row>
    <row r="25" spans="1:25" x14ac:dyDescent="0.2">
      <c r="A25" s="5" t="s">
        <v>206</v>
      </c>
      <c r="B25" s="9">
        <f>Y7+Y12</f>
        <v>2531.63</v>
      </c>
      <c r="C25" s="5" t="s">
        <v>207</v>
      </c>
    </row>
  </sheetData>
  <pageMargins left="0.7" right="0.7" top="0.75" bottom="0.75" header="0.3" footer="0.3"/>
</worksheet>
</file>

<file path=customUI/customUI14.xml><?xml version="1.0" encoding="utf-8"?>
<!-- This code was created by David Freer -->
<!-- All rights are reserved and this code may not be resold (copyright 2017)-->
<customUI xmlns="http://schemas.microsoft.com/office/2009/07/customui" xmlns:ch="QA_HELPER" onLoad="Ribbon_Load">
  <ribbon>
    <tabs>
      <tab id="CTAB_QA_HELPER" label="QA Helper" insertAfterMso="TabDeveloper" keytip="QA">
        <group id="Group_Misc">
          <button id="Btn_About" label="About" size="large" onAction="RunAction" imageMso="Info" screentip="About QA Helper"/>
        </group>
        <group id="Group_Data" label="Data">
          <button id="Btn_InsertDataWizard" label="Insert Wizard" size="large" onAction="RunAction" imageMso="BusinessFormWizard" screentip="Insert data using the QA data wizard"/>
        </group>
        <group id="Group_DataAnalysis" label="Data Analysis">
          <box id="box" boxStyle="horizontal">
            <labelControl id="Lbl_Filler1" label="Cell Character Count:"/>
            <labelControl id="Lbl_CellCharCount" getLabel="GetLabel"/>
          </box>
          <box id="box2" boxStyle="horizontal">
            <labelControl id="Lbl_Filler2" label="Row Character Total:"/>
            <labelControl id="Lbl_RowCharCount" getLabel="GetLabel"/>
          </box>
          <box id="box3" boxStyle="horizontal">
            <labelControl id="Lbl_Filler3" label="Selection Character Total:"/>
            <labelControl id="Lbl_SelectionCharCount" getLabel="GetLabel"/>
          </box>
          <dialogBoxLauncher>
            <button id="Btn_CharacterCountInfo" onAction="RunAction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Error</vt:lpstr>
      <vt:lpstr>Validation</vt:lpstr>
      <vt:lpstr>Error expected outcome</vt:lpstr>
      <vt:lpstr>Sales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2013-01-17T18:07:16Z</cp:lastPrinted>
  <dcterms:created xsi:type="dcterms:W3CDTF">2002-10-19T01:29:57Z</dcterms:created>
  <dcterms:modified xsi:type="dcterms:W3CDTF">2018-01-21T20:11:20Z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ssion Revision Number">
    <vt:lpwstr>251</vt:lpwstr>
  </property>
  <property fmtid="{D5CDD505-2E9C-101B-9397-08002B2CF9AE}" pid="3" name="Fresh Open">
    <vt:lpwstr>0</vt:lpwstr>
  </property>
  <property fmtid="{D5CDD505-2E9C-101B-9397-08002B2CF9AE}" pid="4" name="Revision Number">
    <vt:lpwstr>9</vt:lpwstr>
  </property>
</Properties>
</file>
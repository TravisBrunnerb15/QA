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572294d83c54c7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A\"/>
    </mc:Choice>
  </mc:AlternateContent>
  <bookViews>
    <workbookView xWindow="600" yWindow="240" windowWidth="13935" windowHeight="8385" activeTab="1" xr2:uid="{00000000-000D-0000-FFFF-FFFF00000000}"/>
  </bookViews>
  <sheets>
    <sheet name="CBLBOAT2" sheetId="10" r:id="rId1"/>
    <sheet name="Sheet1" sheetId="11" r:id="rId2"/>
  </sheets>
  <calcPr calcId="171027"/>
</workbook>
</file>

<file path=xl/calcChain.xml><?xml version="1.0" encoding="utf-8"?>
<calcChain xmlns="http://schemas.openxmlformats.org/spreadsheetml/2006/main">
  <c r="S47" i="11" l="1"/>
  <c r="S15" i="11"/>
  <c r="S45" i="11"/>
  <c r="S37" i="11"/>
  <c r="S32" i="11" l="1"/>
  <c r="S30" i="11"/>
  <c r="S24" i="11"/>
  <c r="S28" i="11"/>
  <c r="S26" i="11"/>
  <c r="S22" i="11" l="1"/>
  <c r="S7" i="11"/>
  <c r="S5" i="11"/>
  <c r="S11" i="11" l="1"/>
  <c r="S9" i="11"/>
</calcChain>
</file>

<file path=xl/sharedStrings.xml><?xml version="1.0" encoding="utf-8"?>
<sst xmlns="http://schemas.openxmlformats.org/spreadsheetml/2006/main" count="206" uniqueCount="107">
  <si>
    <t>Sande</t>
  </si>
  <si>
    <t>Al</t>
  </si>
  <si>
    <t>934244</t>
  </si>
  <si>
    <t>20010410</t>
  </si>
  <si>
    <t>R</t>
  </si>
  <si>
    <t>2</t>
  </si>
  <si>
    <t>52180</t>
  </si>
  <si>
    <t xml:space="preserve">Leon </t>
  </si>
  <si>
    <t>Ar</t>
  </si>
  <si>
    <t>244026</t>
  </si>
  <si>
    <t>20090728</t>
  </si>
  <si>
    <t>B</t>
  </si>
  <si>
    <t>1</t>
  </si>
  <si>
    <t>29104</t>
  </si>
  <si>
    <t>Medin</t>
  </si>
  <si>
    <t>Il</t>
  </si>
  <si>
    <t>783548</t>
  </si>
  <si>
    <t>20160808</t>
  </si>
  <si>
    <t>P</t>
  </si>
  <si>
    <t>3</t>
  </si>
  <si>
    <t>17968</t>
  </si>
  <si>
    <t>Burge</t>
  </si>
  <si>
    <t>Ka</t>
  </si>
  <si>
    <t>388772</t>
  </si>
  <si>
    <t>20090512</t>
  </si>
  <si>
    <t>J</t>
  </si>
  <si>
    <t>47451</t>
  </si>
  <si>
    <t>Hogan</t>
  </si>
  <si>
    <t>Lo</t>
  </si>
  <si>
    <t>675124</t>
  </si>
  <si>
    <t>20120216</t>
  </si>
  <si>
    <t>S</t>
  </si>
  <si>
    <t>35304</t>
  </si>
  <si>
    <t>Chand</t>
  </si>
  <si>
    <t>Ma</t>
  </si>
  <si>
    <t>287375</t>
  </si>
  <si>
    <t>20040707</t>
  </si>
  <si>
    <t>C</t>
  </si>
  <si>
    <t>43563</t>
  </si>
  <si>
    <t>River</t>
  </si>
  <si>
    <t>Mi</t>
  </si>
  <si>
    <t>751615</t>
  </si>
  <si>
    <t>20150830</t>
  </si>
  <si>
    <t>06144</t>
  </si>
  <si>
    <t>Avila</t>
  </si>
  <si>
    <t>Ne</t>
  </si>
  <si>
    <t>276984</t>
  </si>
  <si>
    <t>20130403</t>
  </si>
  <si>
    <t>70631</t>
  </si>
  <si>
    <t>Colli</t>
  </si>
  <si>
    <t>175565</t>
  </si>
  <si>
    <t>20150329</t>
  </si>
  <si>
    <t>80165</t>
  </si>
  <si>
    <t>Griff</t>
  </si>
  <si>
    <t>816795</t>
  </si>
  <si>
    <t>20080512</t>
  </si>
  <si>
    <t>51915</t>
  </si>
  <si>
    <t>Bauer</t>
  </si>
  <si>
    <t>Oh</t>
  </si>
  <si>
    <t>234098</t>
  </si>
  <si>
    <t>20040501</t>
  </si>
  <si>
    <t>84245</t>
  </si>
  <si>
    <t>Clark</t>
  </si>
  <si>
    <t>Rh</t>
  </si>
  <si>
    <t>310059</t>
  </si>
  <si>
    <t>20020202</t>
  </si>
  <si>
    <t>40473</t>
  </si>
  <si>
    <t>Arnol</t>
  </si>
  <si>
    <t>So</t>
  </si>
  <si>
    <t>128734</t>
  </si>
  <si>
    <t>20170226</t>
  </si>
  <si>
    <t>39746</t>
  </si>
  <si>
    <t>Morri</t>
  </si>
  <si>
    <t>241841</t>
  </si>
  <si>
    <t>20090907</t>
  </si>
  <si>
    <t>68224</t>
  </si>
  <si>
    <t>Weber</t>
  </si>
  <si>
    <t>Wi</t>
  </si>
  <si>
    <t>527969</t>
  </si>
  <si>
    <t>20131011</t>
  </si>
  <si>
    <t>25616</t>
  </si>
  <si>
    <t>Boat Type</t>
  </si>
  <si>
    <t>: Bass Boat</t>
  </si>
  <si>
    <t>CUSTOMER LAST NAME</t>
  </si>
  <si>
    <t>State</t>
  </si>
  <si>
    <t>Boat Cost</t>
  </si>
  <si>
    <t>Purchase Date</t>
  </si>
  <si>
    <t>Accessory Package</t>
  </si>
  <si>
    <t xml:space="preserve">Electronics </t>
  </si>
  <si>
    <t>Fishing Package</t>
  </si>
  <si>
    <t>Ski Package</t>
  </si>
  <si>
    <t>Prep Cost</t>
  </si>
  <si>
    <t>Total Cost</t>
  </si>
  <si>
    <t>Subtotal for:</t>
  </si>
  <si>
    <t>Number sold:1</t>
  </si>
  <si>
    <t>Bass Boat</t>
  </si>
  <si>
    <t>Number sold: 1</t>
  </si>
  <si>
    <t>Number sold: 3</t>
  </si>
  <si>
    <t>Canoe</t>
  </si>
  <si>
    <t>Electronics</t>
  </si>
  <si>
    <t>Subtoltal for:</t>
  </si>
  <si>
    <t>Number sold:2</t>
  </si>
  <si>
    <t>Number sold:3</t>
  </si>
  <si>
    <t>John Boat</t>
  </si>
  <si>
    <t>Pontoon</t>
  </si>
  <si>
    <t>=SUM(S7+S11+S15)</t>
  </si>
  <si>
    <t>=SUM(G49+32183.5+P49+3,980.00*6%)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</si>
</sst>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 Narrow"/>
    </font>
    <font>
      <sz val="12"/>
      <name val="Arial Narrow"/>
      <family val="2"/>
    </font>
    <font>
      <u/>
      <sz val="11"/>
      <color theme="10"/>
      <name val="Arial Narrow"/>
      <family val="2"/>
    </font>
    <font>
      <sz val="11"/>
      <name val="Courier New"/>
      <family val="3"/>
    </font>
    <font>
      <sz val="10"/>
      <name val="Courier New"/>
      <family val="3"/>
    </font>
    <font>
      <sz val="10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</cellStyleXfs>
  <cellXfs count="9">
    <xf numFmtId="0" fontId="0" fillId="0" borderId="0" xfId="0"/>
    <xf numFmtId="0" fontId="3" fillId="0" borderId="0" xfId="0" applyFont="1"/>
    <xf numFmtId="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49" fontId="3" fillId="0" borderId="0" xfId="5" applyNumberFormat="1" applyFont="1" applyAlignment="1">
      <alignment horizontal="center"/>
    </xf>
    <xf numFmtId="49" fontId="4" fillId="0" borderId="0" xfId="0" applyNumberFormat="1" applyFont="1"/>
    <xf numFmtId="49" fontId="0" fillId="0" borderId="0" xfId="0" applyNumberFormat="1"/>
    <xf numFmtId="49" fontId="5" fillId="0" borderId="0" xfId="0" applyNumberFormat="1" applyFont="1"/>
  </cellXfs>
  <cellStyles count="6">
    <cellStyle name="Hyperlink 2" xfId="3" xr:uid="{00000000-0005-0000-0000-000000000000}"/>
    <cellStyle name="Normal" xfId="0" builtinId="0"/>
    <cellStyle name="Normal 2" xfId="1" xr:uid="{00000000-0005-0000-0000-000002000000}"/>
    <cellStyle name="Normal 2 2" xfId="4" xr:uid="{00000000-0005-0000-0000-000003000000}"/>
    <cellStyle name="Normal 2 3" xfId="2" xr:uid="{00000000-0005-0000-0000-000004000000}"/>
    <cellStyle name="Normal 3" xfId="5" xr:uid="{00000000-0005-0000-0000-00003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9"/>
  <sheetViews>
    <sheetView workbookViewId="0">
      <selection activeCell="G9" sqref="G9"/>
    </sheetView>
  </sheetViews>
  <sheetFormatPr defaultRowHeight="15" x14ac:dyDescent="0.25"/>
  <cols>
    <col min="1" max="1" width="9" style="1" bestFit="1" customWidth="1"/>
    <col min="2" max="2" width="4.5" style="1" bestFit="1" customWidth="1"/>
    <col min="3" max="3" width="10.5" style="1" bestFit="1" customWidth="1"/>
    <col min="4" max="4" width="13.6640625" style="1" bestFit="1" customWidth="1"/>
    <col min="5" max="6" width="3" style="1" bestFit="1" customWidth="1"/>
    <col min="7" max="7" width="9" style="1" bestFit="1" customWidth="1"/>
    <col min="8" max="13" width="9.33203125" style="1"/>
    <col min="14" max="14" width="10.5" style="1" bestFit="1" customWidth="1"/>
    <col min="15" max="16384" width="9.33203125" style="1"/>
  </cols>
  <sheetData>
    <row r="1" spans="1:14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</row>
    <row r="2" spans="1:14" x14ac:dyDescent="0.25">
      <c r="A2" s="3" t="s">
        <v>39</v>
      </c>
      <c r="B2" s="3" t="s">
        <v>40</v>
      </c>
      <c r="C2" s="3" t="s">
        <v>41</v>
      </c>
      <c r="D2" s="3" t="s">
        <v>42</v>
      </c>
      <c r="E2" s="3" t="s">
        <v>11</v>
      </c>
      <c r="F2" s="3" t="s">
        <v>19</v>
      </c>
      <c r="G2" s="3" t="s">
        <v>43</v>
      </c>
    </row>
    <row r="3" spans="1:14" x14ac:dyDescent="0.25">
      <c r="A3" s="3" t="s">
        <v>57</v>
      </c>
      <c r="B3" s="3" t="s">
        <v>58</v>
      </c>
      <c r="C3" s="3" t="s">
        <v>59</v>
      </c>
      <c r="D3" s="3" t="s">
        <v>60</v>
      </c>
      <c r="E3" s="3" t="s">
        <v>11</v>
      </c>
      <c r="F3" s="3" t="s">
        <v>5</v>
      </c>
      <c r="G3" s="3" t="s">
        <v>61</v>
      </c>
    </row>
    <row r="4" spans="1:14" x14ac:dyDescent="0.25">
      <c r="A4" s="3" t="s">
        <v>33</v>
      </c>
      <c r="B4" s="3" t="s">
        <v>34</v>
      </c>
      <c r="C4" s="3" t="s">
        <v>35</v>
      </c>
      <c r="D4" s="3" t="s">
        <v>36</v>
      </c>
      <c r="E4" s="3" t="s">
        <v>37</v>
      </c>
      <c r="F4" s="3" t="s">
        <v>5</v>
      </c>
      <c r="G4" s="3" t="s">
        <v>38</v>
      </c>
    </row>
    <row r="5" spans="1:14" x14ac:dyDescent="0.25">
      <c r="A5" s="3" t="s">
        <v>44</v>
      </c>
      <c r="B5" s="3" t="s">
        <v>45</v>
      </c>
      <c r="C5" s="3" t="s">
        <v>46</v>
      </c>
      <c r="D5" s="3" t="s">
        <v>47</v>
      </c>
      <c r="E5" s="3" t="s">
        <v>37</v>
      </c>
      <c r="F5" s="3" t="s">
        <v>5</v>
      </c>
      <c r="G5" s="3" t="s">
        <v>48</v>
      </c>
    </row>
    <row r="6" spans="1:14" x14ac:dyDescent="0.25">
      <c r="A6" s="3" t="s">
        <v>49</v>
      </c>
      <c r="B6" s="3" t="s">
        <v>45</v>
      </c>
      <c r="C6" s="3" t="s">
        <v>50</v>
      </c>
      <c r="D6" s="3" t="s">
        <v>51</v>
      </c>
      <c r="E6" s="3" t="s">
        <v>37</v>
      </c>
      <c r="F6" s="3" t="s">
        <v>12</v>
      </c>
      <c r="G6" s="3" t="s">
        <v>52</v>
      </c>
    </row>
    <row r="7" spans="1:14" x14ac:dyDescent="0.25">
      <c r="A7" s="3" t="s">
        <v>21</v>
      </c>
      <c r="B7" s="3" t="s">
        <v>22</v>
      </c>
      <c r="C7" s="3" t="s">
        <v>23</v>
      </c>
      <c r="D7" s="3" t="s">
        <v>24</v>
      </c>
      <c r="E7" s="3" t="s">
        <v>25</v>
      </c>
      <c r="F7" s="3" t="s">
        <v>12</v>
      </c>
      <c r="G7" s="3" t="s">
        <v>26</v>
      </c>
    </row>
    <row r="8" spans="1:14" x14ac:dyDescent="0.25">
      <c r="A8" s="3" t="s">
        <v>14</v>
      </c>
      <c r="B8" s="3" t="s">
        <v>15</v>
      </c>
      <c r="C8" s="3" t="s">
        <v>16</v>
      </c>
      <c r="D8" s="3" t="s">
        <v>17</v>
      </c>
      <c r="E8" s="3" t="s">
        <v>18</v>
      </c>
      <c r="F8" s="3" t="s">
        <v>19</v>
      </c>
      <c r="G8" s="3" t="s">
        <v>20</v>
      </c>
    </row>
    <row r="9" spans="1:14" x14ac:dyDescent="0.25">
      <c r="A9" s="3" t="s">
        <v>67</v>
      </c>
      <c r="B9" s="3" t="s">
        <v>68</v>
      </c>
      <c r="C9" s="3" t="s">
        <v>69</v>
      </c>
      <c r="D9" s="3" t="s">
        <v>70</v>
      </c>
      <c r="E9" s="3" t="s">
        <v>18</v>
      </c>
      <c r="F9" s="3" t="s">
        <v>5</v>
      </c>
      <c r="G9" s="3" t="s">
        <v>71</v>
      </c>
    </row>
    <row r="10" spans="1:14" x14ac:dyDescent="0.25">
      <c r="A10" s="3" t="s">
        <v>0</v>
      </c>
      <c r="B10" s="3" t="s">
        <v>1</v>
      </c>
      <c r="C10" s="3" t="s">
        <v>2</v>
      </c>
      <c r="D10" s="3" t="s">
        <v>3</v>
      </c>
      <c r="E10" s="3" t="s">
        <v>4</v>
      </c>
      <c r="F10" s="3" t="s">
        <v>5</v>
      </c>
      <c r="G10" s="3" t="s">
        <v>6</v>
      </c>
      <c r="N10" s="2"/>
    </row>
    <row r="11" spans="1:14" x14ac:dyDescent="0.25">
      <c r="A11" s="3" t="s">
        <v>76</v>
      </c>
      <c r="B11" s="3" t="s">
        <v>77</v>
      </c>
      <c r="C11" s="3" t="s">
        <v>78</v>
      </c>
      <c r="D11" s="3" t="s">
        <v>79</v>
      </c>
      <c r="E11" s="3" t="s">
        <v>4</v>
      </c>
      <c r="F11" s="3" t="s">
        <v>12</v>
      </c>
      <c r="G11" s="3" t="s">
        <v>80</v>
      </c>
      <c r="N11" s="2"/>
    </row>
    <row r="12" spans="1:14" x14ac:dyDescent="0.25">
      <c r="A12" s="3" t="s">
        <v>27</v>
      </c>
      <c r="B12" s="3" t="s">
        <v>28</v>
      </c>
      <c r="C12" s="3" t="s">
        <v>29</v>
      </c>
      <c r="D12" s="3" t="s">
        <v>30</v>
      </c>
      <c r="E12" s="3" t="s">
        <v>31</v>
      </c>
      <c r="F12" s="3" t="s">
        <v>12</v>
      </c>
      <c r="G12" s="3" t="s">
        <v>32</v>
      </c>
      <c r="N12" s="2"/>
    </row>
    <row r="13" spans="1:14" x14ac:dyDescent="0.25">
      <c r="A13" s="3" t="s">
        <v>53</v>
      </c>
      <c r="B13" s="3" t="s">
        <v>45</v>
      </c>
      <c r="C13" s="3" t="s">
        <v>54</v>
      </c>
      <c r="D13" s="3" t="s">
        <v>55</v>
      </c>
      <c r="E13" s="3" t="s">
        <v>31</v>
      </c>
      <c r="F13" s="3" t="s">
        <v>5</v>
      </c>
      <c r="G13" s="3" t="s">
        <v>56</v>
      </c>
      <c r="N13" s="2"/>
    </row>
    <row r="14" spans="1:14" x14ac:dyDescent="0.25">
      <c r="A14" s="3" t="s">
        <v>62</v>
      </c>
      <c r="B14" s="3" t="s">
        <v>63</v>
      </c>
      <c r="C14" s="3" t="s">
        <v>64</v>
      </c>
      <c r="D14" s="3" t="s">
        <v>65</v>
      </c>
      <c r="E14" s="3" t="s">
        <v>31</v>
      </c>
      <c r="F14" s="3" t="s">
        <v>19</v>
      </c>
      <c r="G14" s="3" t="s">
        <v>66</v>
      </c>
      <c r="N14" s="2"/>
    </row>
    <row r="15" spans="1:14" x14ac:dyDescent="0.25">
      <c r="A15" s="3" t="s">
        <v>72</v>
      </c>
      <c r="B15" s="3" t="s">
        <v>68</v>
      </c>
      <c r="C15" s="3" t="s">
        <v>73</v>
      </c>
      <c r="D15" s="3" t="s">
        <v>74</v>
      </c>
      <c r="E15" s="3" t="s">
        <v>31</v>
      </c>
      <c r="F15" s="3" t="s">
        <v>12</v>
      </c>
      <c r="G15" s="3" t="s">
        <v>75</v>
      </c>
      <c r="N15" s="2"/>
    </row>
    <row r="16" spans="1:14" x14ac:dyDescent="0.25">
      <c r="N16" s="2"/>
    </row>
    <row r="17" spans="14:14" x14ac:dyDescent="0.25">
      <c r="N17" s="2"/>
    </row>
    <row r="18" spans="14:14" x14ac:dyDescent="0.25">
      <c r="N18" s="2"/>
    </row>
    <row r="19" spans="14:14" x14ac:dyDescent="0.25">
      <c r="N19" s="2"/>
    </row>
  </sheetData>
  <sortState ref="A1:G15">
    <sortCondition ref="E1:E15"/>
    <sortCondition ref="B1:B15"/>
  </sortState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ED87A-C04A-4F24-8A53-080E40D35351}">
  <dimension ref="A1:T51"/>
  <sheetViews>
    <sheetView tabSelected="1" topLeftCell="E40" workbookViewId="0">
      <selection activeCell="S50" sqref="S50"/>
    </sheetView>
  </sheetViews>
  <sheetFormatPr defaultRowHeight="12.75" x14ac:dyDescent="0.2"/>
  <cols>
    <col min="1" max="1" width="25.83203125" bestFit="1" customWidth="1"/>
    <col min="2" max="2" width="16" bestFit="1" customWidth="1"/>
    <col min="4" max="4" width="13.33203125" bestFit="1" customWidth="1"/>
    <col min="7" max="7" width="13.33203125" bestFit="1" customWidth="1"/>
    <col min="10" max="10" width="18.83203125" bestFit="1" customWidth="1"/>
    <col min="13" max="13" width="24.33203125" bestFit="1" customWidth="1"/>
    <col min="16" max="16" width="13.33203125" bestFit="1" customWidth="1"/>
    <col min="19" max="19" width="33.1640625" customWidth="1"/>
    <col min="20" max="20" width="14.6640625" customWidth="1"/>
  </cols>
  <sheetData>
    <row r="1" spans="1:20" ht="13.5" x14ac:dyDescent="0.25">
      <c r="A1" s="4" t="s">
        <v>81</v>
      </c>
      <c r="B1" s="4" t="s">
        <v>82</v>
      </c>
    </row>
    <row r="3" spans="1:20" ht="13.5" x14ac:dyDescent="0.25">
      <c r="A3" s="4" t="s">
        <v>83</v>
      </c>
      <c r="D3" s="4" t="s">
        <v>84</v>
      </c>
      <c r="E3" s="4"/>
      <c r="G3" s="4" t="s">
        <v>85</v>
      </c>
      <c r="J3" s="4" t="s">
        <v>86</v>
      </c>
      <c r="M3" s="4" t="s">
        <v>87</v>
      </c>
      <c r="P3" s="4" t="s">
        <v>91</v>
      </c>
      <c r="S3" s="4" t="s">
        <v>92</v>
      </c>
      <c r="T3" s="4"/>
    </row>
    <row r="4" spans="1:20" ht="13.5" x14ac:dyDescent="0.25">
      <c r="S4" s="4"/>
      <c r="T4" s="4"/>
    </row>
    <row r="5" spans="1:20" ht="15" x14ac:dyDescent="0.25">
      <c r="A5" s="3" t="s">
        <v>7</v>
      </c>
      <c r="D5" s="3" t="s">
        <v>8</v>
      </c>
      <c r="G5" s="3" t="s">
        <v>9</v>
      </c>
      <c r="J5" s="3" t="s">
        <v>10</v>
      </c>
      <c r="M5" s="4" t="s">
        <v>88</v>
      </c>
      <c r="P5" s="3" t="s">
        <v>13</v>
      </c>
      <c r="S5" s="4">
        <f>SUM(G5+80528.58+P5+5,415.3*6%)</f>
        <v>353688.49800000002</v>
      </c>
      <c r="T5" s="4"/>
    </row>
    <row r="6" spans="1:20" ht="15" x14ac:dyDescent="0.25">
      <c r="A6" s="3"/>
      <c r="D6" s="3"/>
      <c r="G6" s="3"/>
      <c r="J6" s="3"/>
      <c r="M6" s="4"/>
      <c r="P6" s="3"/>
      <c r="S6" s="4"/>
      <c r="T6" s="4"/>
    </row>
    <row r="7" spans="1:20" ht="15" x14ac:dyDescent="0.25">
      <c r="A7" s="3"/>
      <c r="B7" s="4" t="s">
        <v>93</v>
      </c>
      <c r="D7" s="3" t="s">
        <v>8</v>
      </c>
      <c r="G7" s="3"/>
      <c r="J7" s="3" t="s">
        <v>94</v>
      </c>
      <c r="M7" s="4"/>
      <c r="P7" s="3"/>
      <c r="S7" s="4">
        <f>SUM(S5)</f>
        <v>353688.49800000002</v>
      </c>
      <c r="T7" s="4"/>
    </row>
    <row r="8" spans="1:20" ht="15" x14ac:dyDescent="0.25">
      <c r="A8" s="3"/>
      <c r="B8" s="4"/>
      <c r="D8" s="3"/>
      <c r="G8" s="3"/>
      <c r="J8" s="3"/>
      <c r="M8" s="4"/>
      <c r="P8" s="3"/>
      <c r="S8" s="4"/>
      <c r="T8" s="4"/>
    </row>
    <row r="9" spans="1:20" ht="15" x14ac:dyDescent="0.25">
      <c r="A9" s="3" t="s">
        <v>39</v>
      </c>
      <c r="D9" s="3" t="s">
        <v>40</v>
      </c>
      <c r="G9" s="3" t="s">
        <v>41</v>
      </c>
      <c r="J9" s="3" t="s">
        <v>42</v>
      </c>
      <c r="M9" s="4" t="s">
        <v>89</v>
      </c>
      <c r="P9" s="3" t="s">
        <v>43</v>
      </c>
      <c r="S9" s="6">
        <f>SUM(G9+248032.95+P9+345.45*6%)</f>
        <v>1005812.6769999999</v>
      </c>
      <c r="T9" s="6"/>
    </row>
    <row r="10" spans="1:20" ht="15" x14ac:dyDescent="0.25">
      <c r="A10" s="3"/>
      <c r="D10" s="3"/>
      <c r="G10" s="3"/>
      <c r="J10" s="3"/>
      <c r="M10" s="4"/>
      <c r="P10" s="3"/>
      <c r="S10" s="4"/>
      <c r="T10" s="4"/>
    </row>
    <row r="11" spans="1:20" ht="15" x14ac:dyDescent="0.25">
      <c r="A11" s="3"/>
      <c r="B11" s="4" t="s">
        <v>93</v>
      </c>
      <c r="D11" s="3" t="s">
        <v>40</v>
      </c>
      <c r="G11" s="3"/>
      <c r="J11" s="3" t="s">
        <v>94</v>
      </c>
      <c r="M11" s="4"/>
      <c r="P11" s="3"/>
      <c r="S11" s="6">
        <f>SUM(S9)</f>
        <v>1005812.6769999999</v>
      </c>
      <c r="T11" s="6"/>
    </row>
    <row r="12" spans="1:20" ht="15" x14ac:dyDescent="0.25">
      <c r="A12" s="3"/>
      <c r="B12" s="4"/>
      <c r="D12" s="3"/>
      <c r="G12" s="3"/>
      <c r="J12" s="3"/>
      <c r="M12" s="4"/>
      <c r="P12" s="3"/>
      <c r="S12" s="6"/>
      <c r="T12" s="6"/>
    </row>
    <row r="13" spans="1:20" ht="15" x14ac:dyDescent="0.25">
      <c r="A13" s="3" t="s">
        <v>57</v>
      </c>
      <c r="D13" s="3" t="s">
        <v>58</v>
      </c>
      <c r="G13" s="3" t="s">
        <v>59</v>
      </c>
      <c r="J13" s="3" t="s">
        <v>60</v>
      </c>
      <c r="M13" s="4" t="s">
        <v>90</v>
      </c>
      <c r="P13" s="3" t="s">
        <v>61</v>
      </c>
      <c r="S13" s="4"/>
      <c r="T13" s="4"/>
    </row>
    <row r="14" spans="1:20" ht="15" x14ac:dyDescent="0.25">
      <c r="A14" s="3"/>
      <c r="D14" s="3"/>
      <c r="G14" s="3"/>
      <c r="J14" s="3"/>
      <c r="M14" s="4"/>
      <c r="P14" s="3"/>
      <c r="S14" s="4"/>
      <c r="T14" s="4"/>
    </row>
    <row r="15" spans="1:20" ht="15" x14ac:dyDescent="0.25">
      <c r="A15" s="3"/>
      <c r="B15" s="4" t="s">
        <v>93</v>
      </c>
      <c r="D15" s="3" t="s">
        <v>58</v>
      </c>
      <c r="G15" s="3"/>
      <c r="J15" s="3" t="s">
        <v>94</v>
      </c>
      <c r="M15" s="4"/>
      <c r="P15" s="3"/>
      <c r="S15" s="4">
        <f>SUM(G13+77252.34+P13+3,980*6%)</f>
        <v>395657.13999999996</v>
      </c>
      <c r="T15" s="4"/>
    </row>
    <row r="16" spans="1:20" ht="15" x14ac:dyDescent="0.25">
      <c r="A16" s="3"/>
      <c r="D16" s="3"/>
      <c r="G16" s="5"/>
    </row>
    <row r="17" spans="1:20" ht="13.5" x14ac:dyDescent="0.25">
      <c r="B17" s="4" t="s">
        <v>93</v>
      </c>
      <c r="C17" s="4"/>
      <c r="D17" s="4" t="s">
        <v>95</v>
      </c>
      <c r="E17" s="4"/>
      <c r="F17" s="4"/>
      <c r="G17" s="4"/>
      <c r="H17" s="4"/>
      <c r="I17" s="4"/>
      <c r="J17" s="4" t="s">
        <v>97</v>
      </c>
      <c r="K17" s="4"/>
      <c r="L17" s="4"/>
      <c r="M17" s="4"/>
      <c r="N17" s="4"/>
      <c r="O17" s="4"/>
      <c r="P17" s="4"/>
      <c r="Q17" s="4"/>
      <c r="R17" s="4"/>
      <c r="S17" s="6" t="s">
        <v>105</v>
      </c>
      <c r="T17" s="6"/>
    </row>
    <row r="20" spans="1:20" ht="13.5" x14ac:dyDescent="0.25">
      <c r="A20" s="4"/>
      <c r="B20" s="4" t="s">
        <v>98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2" spans="1:20" ht="15" x14ac:dyDescent="0.25">
      <c r="A22" s="3" t="s">
        <v>33</v>
      </c>
      <c r="B22" s="4"/>
      <c r="C22" s="4"/>
      <c r="D22" s="3" t="s">
        <v>34</v>
      </c>
      <c r="E22" s="4"/>
      <c r="F22" s="4"/>
      <c r="G22" s="3" t="s">
        <v>35</v>
      </c>
      <c r="H22" s="4"/>
      <c r="I22" s="4"/>
      <c r="J22" s="3" t="s">
        <v>36</v>
      </c>
      <c r="K22" s="4"/>
      <c r="L22" s="4"/>
      <c r="M22" s="4" t="s">
        <v>90</v>
      </c>
      <c r="N22" s="4"/>
      <c r="O22" s="4"/>
      <c r="P22" s="3" t="s">
        <v>38</v>
      </c>
      <c r="Q22" s="4"/>
      <c r="R22" s="4"/>
      <c r="S22" s="4">
        <f>SUM(G22+57475+P22+3,980*6%)</f>
        <v>388474.8</v>
      </c>
      <c r="T22" s="4"/>
    </row>
    <row r="24" spans="1:20" ht="13.5" x14ac:dyDescent="0.25">
      <c r="B24" s="4" t="s">
        <v>93</v>
      </c>
      <c r="C24" s="4"/>
      <c r="D24" s="4" t="s">
        <v>34</v>
      </c>
      <c r="E24" s="4"/>
      <c r="F24" s="4"/>
      <c r="G24" s="4"/>
      <c r="H24" s="4"/>
      <c r="I24" s="4"/>
      <c r="J24" s="4" t="s">
        <v>96</v>
      </c>
      <c r="K24" s="4"/>
      <c r="L24" s="4"/>
      <c r="M24" s="4"/>
      <c r="N24" s="4"/>
      <c r="O24" s="4"/>
      <c r="P24" s="4"/>
      <c r="Q24" s="4"/>
      <c r="R24" s="4"/>
      <c r="S24" s="4">
        <f>SUM(G22+57475+P22+3,980*6%)</f>
        <v>388474.8</v>
      </c>
      <c r="T24" s="4"/>
    </row>
    <row r="26" spans="1:20" ht="15" x14ac:dyDescent="0.25">
      <c r="A26" s="3" t="s">
        <v>44</v>
      </c>
      <c r="D26" s="3" t="s">
        <v>45</v>
      </c>
      <c r="G26" s="3" t="s">
        <v>46</v>
      </c>
      <c r="J26" s="3" t="s">
        <v>47</v>
      </c>
      <c r="M26" s="4" t="s">
        <v>90</v>
      </c>
      <c r="P26" s="3" t="s">
        <v>48</v>
      </c>
      <c r="S26">
        <f>SUM(G26+55396.8+P26+3,980*6%)</f>
        <v>403073.6</v>
      </c>
    </row>
    <row r="28" spans="1:20" ht="15" x14ac:dyDescent="0.25">
      <c r="A28" s="3" t="s">
        <v>49</v>
      </c>
      <c r="B28" s="4"/>
      <c r="C28" s="4"/>
      <c r="D28" s="3" t="s">
        <v>45</v>
      </c>
      <c r="E28" s="4"/>
      <c r="F28" s="4"/>
      <c r="G28" s="3" t="s">
        <v>50</v>
      </c>
      <c r="H28" s="4"/>
      <c r="I28" s="4"/>
      <c r="J28" s="3" t="s">
        <v>51</v>
      </c>
      <c r="K28" s="4"/>
      <c r="L28" s="4"/>
      <c r="M28" s="4" t="s">
        <v>99</v>
      </c>
      <c r="N28" s="4"/>
      <c r="O28" s="4"/>
      <c r="P28" s="3" t="s">
        <v>52</v>
      </c>
      <c r="Q28" s="4"/>
      <c r="R28" s="4"/>
      <c r="S28" s="4">
        <f>SUM(G28+35113+P28+5,415.3*6%)</f>
        <v>290872.91800000001</v>
      </c>
      <c r="T28" s="4"/>
    </row>
    <row r="30" spans="1:20" ht="13.5" x14ac:dyDescent="0.25">
      <c r="A30" s="4"/>
      <c r="B30" s="4" t="s">
        <v>100</v>
      </c>
      <c r="C30" s="4"/>
      <c r="D30" s="4" t="s">
        <v>45</v>
      </c>
      <c r="E30" s="4"/>
      <c r="F30" s="4"/>
      <c r="G30" s="4"/>
      <c r="H30" s="4"/>
      <c r="I30" s="4"/>
      <c r="J30" s="4" t="s">
        <v>101</v>
      </c>
      <c r="K30" s="4"/>
      <c r="L30" s="4"/>
      <c r="M30" s="4"/>
      <c r="N30" s="4"/>
      <c r="O30" s="4"/>
      <c r="P30" s="4"/>
      <c r="Q30" s="4"/>
      <c r="R30" s="4"/>
      <c r="S30" s="4">
        <f>SUM(S28+S26)</f>
        <v>693946.51799999992</v>
      </c>
      <c r="T30" s="4"/>
    </row>
    <row r="32" spans="1:20" ht="13.5" x14ac:dyDescent="0.25">
      <c r="B32" s="4" t="s">
        <v>93</v>
      </c>
      <c r="D32" s="4" t="s">
        <v>98</v>
      </c>
      <c r="J32" s="4" t="s">
        <v>102</v>
      </c>
      <c r="S32">
        <f>SUM(S30+S24)</f>
        <v>1082421.318</v>
      </c>
    </row>
    <row r="35" spans="1:20" ht="13.5" x14ac:dyDescent="0.25">
      <c r="B35" s="4" t="s">
        <v>103</v>
      </c>
    </row>
    <row r="37" spans="1:20" ht="15" x14ac:dyDescent="0.25">
      <c r="A37" s="3" t="s">
        <v>21</v>
      </c>
      <c r="B37" s="4"/>
      <c r="C37" s="4"/>
      <c r="D37" s="3" t="s">
        <v>22</v>
      </c>
      <c r="E37" s="4"/>
      <c r="F37" s="4"/>
      <c r="G37" s="3" t="s">
        <v>23</v>
      </c>
      <c r="H37" s="4"/>
      <c r="I37" s="4"/>
      <c r="J37" s="3" t="s">
        <v>24</v>
      </c>
      <c r="K37" s="4"/>
      <c r="L37" s="4"/>
      <c r="M37" s="4" t="s">
        <v>88</v>
      </c>
      <c r="N37" s="4"/>
      <c r="O37" s="4"/>
      <c r="P37" s="3" t="s">
        <v>26</v>
      </c>
      <c r="S37">
        <f>SUM(G37+128294.76+P37+5,415.3*6%)</f>
        <v>564547.67799999996</v>
      </c>
    </row>
    <row r="39" spans="1:20" ht="13.5" x14ac:dyDescent="0.25">
      <c r="B39" s="4" t="s">
        <v>93</v>
      </c>
      <c r="D39" s="4" t="s">
        <v>22</v>
      </c>
      <c r="J39" s="4" t="s">
        <v>94</v>
      </c>
      <c r="S39">
        <v>564547.67799999996</v>
      </c>
    </row>
    <row r="41" spans="1:20" ht="13.5" x14ac:dyDescent="0.25">
      <c r="B41" s="4" t="s">
        <v>93</v>
      </c>
      <c r="D41" s="4" t="s">
        <v>103</v>
      </c>
      <c r="J41" s="4" t="s">
        <v>94</v>
      </c>
      <c r="S41">
        <v>564547.67799999996</v>
      </c>
    </row>
    <row r="43" spans="1:20" ht="13.5" x14ac:dyDescent="0.25">
      <c r="B43" s="4" t="s">
        <v>104</v>
      </c>
    </row>
    <row r="45" spans="1:20" ht="15" x14ac:dyDescent="0.25">
      <c r="A45" s="3" t="s">
        <v>14</v>
      </c>
      <c r="D45" s="3" t="s">
        <v>15</v>
      </c>
      <c r="G45" s="3" t="s">
        <v>16</v>
      </c>
      <c r="J45" s="3" t="s">
        <v>17</v>
      </c>
      <c r="M45" s="4" t="s">
        <v>89</v>
      </c>
      <c r="P45" s="3" t="s">
        <v>20</v>
      </c>
      <c r="S45" s="7">
        <f>SUM(G45+195887+P45+345.45*6%)</f>
        <v>997423.72699999996</v>
      </c>
      <c r="T45" s="7"/>
    </row>
    <row r="46" spans="1:20" x14ac:dyDescent="0.2">
      <c r="S46" s="7"/>
      <c r="T46" s="7"/>
    </row>
    <row r="47" spans="1:20" ht="15" x14ac:dyDescent="0.25">
      <c r="B47" s="4" t="s">
        <v>93</v>
      </c>
      <c r="D47" s="3" t="s">
        <v>15</v>
      </c>
      <c r="J47" s="4" t="s">
        <v>94</v>
      </c>
      <c r="S47" s="7">
        <f t="shared" ref="S47" si="0">SUM(G47+195887+P47+345.45*6%)</f>
        <v>195907.72700000001</v>
      </c>
      <c r="T47" s="7"/>
    </row>
    <row r="48" spans="1:20" x14ac:dyDescent="0.2">
      <c r="S48" s="7"/>
      <c r="T48" s="7"/>
    </row>
    <row r="49" spans="1:20" ht="15" x14ac:dyDescent="0.25">
      <c r="A49" s="3" t="s">
        <v>67</v>
      </c>
      <c r="D49" s="3" t="s">
        <v>68</v>
      </c>
      <c r="G49" s="3" t="s">
        <v>69</v>
      </c>
      <c r="J49" s="3" t="s">
        <v>70</v>
      </c>
      <c r="M49" s="4" t="s">
        <v>90</v>
      </c>
      <c r="P49" s="3" t="s">
        <v>71</v>
      </c>
      <c r="S49" s="8" t="s">
        <v>106</v>
      </c>
      <c r="T49" s="8"/>
    </row>
    <row r="51" spans="1:20" ht="13.5" x14ac:dyDescent="0.25">
      <c r="B51" s="4" t="s">
        <v>93</v>
      </c>
      <c r="D51" s="4" t="s">
        <v>68</v>
      </c>
      <c r="J51" s="4" t="s">
        <v>94</v>
      </c>
    </row>
  </sheetData>
  <pageMargins left="0.7" right="0.7" top="0.75" bottom="0.75" header="0.3" footer="0.3"/>
  <pageSetup orientation="portrait" horizontalDpi="4294967295" verticalDpi="4294967295" r:id="rId1"/>
</worksheet>
</file>

<file path=customUI/customUI14.xml><?xml version="1.0" encoding="utf-8"?>
<!-- This code was created by David Freer -->
<!-- All rights are reserved and this code may not be resold (copyright 2017)-->
<customUI xmlns="http://schemas.microsoft.com/office/2009/07/customui" xmlns:ch="QA_HELPER" onLoad="Ribbon_Load">
  <ribbon>
    <tabs>
      <tab id="CTAB_QA_HELPER" label="QA Helper" insertAfterMso="TabDeveloper" keytip="QA">
        <group id="Group_Misc">
          <button id="Btn_About" label="About" size="large" onAction="RunAction" imageMso="Info" screentip="About QA Helper"/>
        </group>
        <group id="Group_Data" label="Data">
          <button id="Btn_InsertDataWizard" label="Insert Wizard" size="large" onAction="RunAction" imageMso="BusinessFormWizard" screentip="Insert data using the QA data wizard"/>
        </group>
        <group id="Group_DataAnalysis" label="Data Analysis">
          <box id="box" boxStyle="horizontal">
            <labelControl id="Lbl_Filler1" label="Cell Character Count:"/>
            <labelControl id="Lbl_CellCharCount" getLabel="GetLabel"/>
          </box>
          <box id="box2" boxStyle="horizontal">
            <labelControl id="Lbl_Filler2" label="Row Character Total:"/>
            <labelControl id="Lbl_RowCharCount" getLabel="GetLabel"/>
          </box>
          <box id="box3" boxStyle="horizontal">
            <labelControl id="Lbl_Filler3" label="Selection Character Total:"/>
            <labelControl id="Lbl_SelectionCharCount" getLabel="GetLabel"/>
          </box>
          <dialogBoxLauncher>
            <button id="Btn_CharacterCountInfo" onAction="Ru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CBLBOAT2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2013-01-17T18:07:16Z</cp:lastPrinted>
  <dcterms:created xsi:type="dcterms:W3CDTF">2002-10-19T01:29:57Z</dcterms:created>
  <dcterms:modified xsi:type="dcterms:W3CDTF">2018-01-31T17:47:31Z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ssion Revision Number">
    <vt:lpwstr>251</vt:lpwstr>
  </property>
  <property fmtid="{D5CDD505-2E9C-101B-9397-08002B2CF9AE}" pid="3" name="Fresh Open">
    <vt:lpwstr>0</vt:lpwstr>
  </property>
  <property fmtid="{D5CDD505-2E9C-101B-9397-08002B2CF9AE}" pid="4" name="Revision Number">
    <vt:lpwstr>9</vt:lpwstr>
  </property>
</Properties>
</file>
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0" yWindow="0" windowWidth="20490" windowHeight="7530" xr2:uid="{00000000-000D-0000-FFFF-FFFF00000000}"/>
  </bookViews>
  <sheets>
    <sheet name="CBLBOAT1" sheetId="10" r:id="rId1"/>
    <sheet name="Expectations" sheetId="11" r:id="rId2"/>
    <sheet name="Expected OutCome" sheetId="12" r:id="rId3"/>
  </sheets>
  <calcPr calcId="171027"/>
</workbook>
</file>

<file path=xl/calcChain.xml><?xml version="1.0" encoding="utf-8"?>
<calcChain xmlns="http://schemas.openxmlformats.org/spreadsheetml/2006/main">
  <c r="E26" i="12" l="1"/>
  <c r="E25" i="12"/>
  <c r="E24" i="12"/>
  <c r="E23" i="12"/>
  <c r="E22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E27" i="12" s="1"/>
  <c r="L3" i="12"/>
  <c r="L19" i="12" l="1"/>
</calcChain>
</file>

<file path=xl/sharedStrings.xml><?xml version="1.0" encoding="utf-8"?>
<sst xmlns="http://schemas.openxmlformats.org/spreadsheetml/2006/main" count="395" uniqueCount="104">
  <si>
    <t>Lo</t>
  </si>
  <si>
    <t>Ne</t>
  </si>
  <si>
    <t>Ar</t>
  </si>
  <si>
    <t>P</t>
  </si>
  <si>
    <t>B</t>
  </si>
  <si>
    <t>J</t>
  </si>
  <si>
    <t>Hogan</t>
  </si>
  <si>
    <t>Avila</t>
  </si>
  <si>
    <t>Bauer</t>
  </si>
  <si>
    <t>Sande</t>
  </si>
  <si>
    <t>Chand</t>
  </si>
  <si>
    <t>River</t>
  </si>
  <si>
    <t>Colli</t>
  </si>
  <si>
    <t>Griff</t>
  </si>
  <si>
    <t>Weber</t>
  </si>
  <si>
    <t xml:space="preserve">Leon </t>
  </si>
  <si>
    <t>Clark</t>
  </si>
  <si>
    <t>Medin</t>
  </si>
  <si>
    <t>Arnol</t>
  </si>
  <si>
    <t>Morri</t>
  </si>
  <si>
    <t>Burge</t>
  </si>
  <si>
    <t>Oh</t>
  </si>
  <si>
    <t>Al</t>
  </si>
  <si>
    <t>Ma</t>
  </si>
  <si>
    <t>Mi</t>
  </si>
  <si>
    <t>Wi</t>
  </si>
  <si>
    <t>Rh</t>
  </si>
  <si>
    <t>Il</t>
  </si>
  <si>
    <t>So</t>
  </si>
  <si>
    <t>Ka</t>
  </si>
  <si>
    <t>675124</t>
  </si>
  <si>
    <t>276984</t>
  </si>
  <si>
    <t>234098</t>
  </si>
  <si>
    <t>934244</t>
  </si>
  <si>
    <t>287375</t>
  </si>
  <si>
    <t>751615</t>
  </si>
  <si>
    <t>175565</t>
  </si>
  <si>
    <t>816795</t>
  </si>
  <si>
    <t>527969</t>
  </si>
  <si>
    <t>244026</t>
  </si>
  <si>
    <t>310059</t>
  </si>
  <si>
    <t>783548</t>
  </si>
  <si>
    <t>128734</t>
  </si>
  <si>
    <t>241841</t>
  </si>
  <si>
    <t>388772</t>
  </si>
  <si>
    <t>20120216</t>
  </si>
  <si>
    <t>20130403</t>
  </si>
  <si>
    <t>20040501</t>
  </si>
  <si>
    <t>20010410</t>
  </si>
  <si>
    <t>20040707</t>
  </si>
  <si>
    <t>20150830</t>
  </si>
  <si>
    <t>20150329</t>
  </si>
  <si>
    <t>20080512</t>
  </si>
  <si>
    <t>20131011</t>
  </si>
  <si>
    <t>20090728</t>
  </si>
  <si>
    <t>20020202</t>
  </si>
  <si>
    <t>20160808</t>
  </si>
  <si>
    <t>20170226</t>
  </si>
  <si>
    <t>20090907</t>
  </si>
  <si>
    <t>20090512</t>
  </si>
  <si>
    <t>S</t>
  </si>
  <si>
    <t>C</t>
  </si>
  <si>
    <t>R</t>
  </si>
  <si>
    <t>1</t>
  </si>
  <si>
    <t>2</t>
  </si>
  <si>
    <t>3</t>
  </si>
  <si>
    <t>35304</t>
  </si>
  <si>
    <t>70631</t>
  </si>
  <si>
    <t>84245</t>
  </si>
  <si>
    <t>52180</t>
  </si>
  <si>
    <t>43563</t>
  </si>
  <si>
    <t>06144</t>
  </si>
  <si>
    <t>80165</t>
  </si>
  <si>
    <t>51915</t>
  </si>
  <si>
    <t>25616</t>
  </si>
  <si>
    <t>29104</t>
  </si>
  <si>
    <t>40473</t>
  </si>
  <si>
    <t>17968</t>
  </si>
  <si>
    <t>39746</t>
  </si>
  <si>
    <t>68224</t>
  </si>
  <si>
    <t>47451</t>
  </si>
  <si>
    <t>Bass Boat</t>
  </si>
  <si>
    <t>Canoe</t>
  </si>
  <si>
    <t>John Boat</t>
  </si>
  <si>
    <t>Pontoon</t>
  </si>
  <si>
    <t>Cabin Cruiser</t>
  </si>
  <si>
    <t>Ski Boat</t>
  </si>
  <si>
    <t>Electronics</t>
  </si>
  <si>
    <t>Ski Package</t>
  </si>
  <si>
    <t>Fishing Package</t>
  </si>
  <si>
    <t>State</t>
  </si>
  <si>
    <t>Boat Cost</t>
  </si>
  <si>
    <t>Last Name</t>
  </si>
  <si>
    <t>Purchase date</t>
  </si>
  <si>
    <t>Boat Type</t>
  </si>
  <si>
    <t>Accessory package</t>
  </si>
  <si>
    <t>Prep delivery cost</t>
  </si>
  <si>
    <t>Total cost</t>
  </si>
  <si>
    <t>Total by type</t>
  </si>
  <si>
    <t>Total Sales</t>
  </si>
  <si>
    <t>Total # of Sales</t>
  </si>
  <si>
    <t>Boat Type: Bass Boat</t>
  </si>
  <si>
    <t>Sub for Bass Boat</t>
  </si>
  <si>
    <t>Number Sold:3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</si>
</sst>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</cellStyleXfs>
  <cellXfs count="8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164" fontId="3" fillId="0" borderId="0" xfId="0" applyNumberFormat="1" applyFont="1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9"/>
  <sheetViews>
    <sheetView tabSelected="1" workbookViewId="0">
      <selection sqref="A1:G15"/>
    </sheetView>
  </sheetViews>
  <sheetFormatPr defaultRowHeight="15" x14ac:dyDescent="0.25"/>
  <cols>
    <col min="1" max="1" width="9" style="1" bestFit="1" customWidth="1"/>
    <col min="2" max="2" width="4.5" style="1" bestFit="1" customWidth="1"/>
    <col min="3" max="3" width="10.5" style="1" bestFit="1" customWidth="1"/>
    <col min="4" max="4" width="13.6640625" style="1" bestFit="1" customWidth="1"/>
    <col min="5" max="6" width="3" style="1" bestFit="1" customWidth="1"/>
    <col min="7" max="7" width="9" style="1" bestFit="1" customWidth="1"/>
    <col min="8" max="13" width="9.33203125" style="1"/>
    <col min="14" max="14" width="10.5" style="1" bestFit="1" customWidth="1"/>
    <col min="15" max="16384" width="9.33203125" style="1"/>
  </cols>
  <sheetData>
    <row r="1" spans="1:14" x14ac:dyDescent="0.25">
      <c r="A1" s="3" t="s">
        <v>9</v>
      </c>
      <c r="B1" s="3" t="s">
        <v>22</v>
      </c>
      <c r="C1" s="3" t="s">
        <v>33</v>
      </c>
      <c r="D1" s="3" t="s">
        <v>48</v>
      </c>
      <c r="E1" s="3" t="s">
        <v>62</v>
      </c>
      <c r="F1" s="3" t="s">
        <v>64</v>
      </c>
      <c r="G1" s="3" t="s">
        <v>69</v>
      </c>
    </row>
    <row r="2" spans="1:14" x14ac:dyDescent="0.25">
      <c r="A2" s="3" t="s">
        <v>15</v>
      </c>
      <c r="B2" s="3" t="s">
        <v>2</v>
      </c>
      <c r="C2" s="3" t="s">
        <v>39</v>
      </c>
      <c r="D2" s="3" t="s">
        <v>54</v>
      </c>
      <c r="E2" s="3" t="s">
        <v>4</v>
      </c>
      <c r="F2" s="3" t="s">
        <v>63</v>
      </c>
      <c r="G2" s="3" t="s">
        <v>75</v>
      </c>
    </row>
    <row r="3" spans="1:14" x14ac:dyDescent="0.25">
      <c r="A3" s="3" t="s">
        <v>17</v>
      </c>
      <c r="B3" s="3" t="s">
        <v>27</v>
      </c>
      <c r="C3" s="3" t="s">
        <v>41</v>
      </c>
      <c r="D3" s="3" t="s">
        <v>56</v>
      </c>
      <c r="E3" s="3" t="s">
        <v>3</v>
      </c>
      <c r="F3" s="3" t="s">
        <v>65</v>
      </c>
      <c r="G3" s="3" t="s">
        <v>77</v>
      </c>
    </row>
    <row r="4" spans="1:14" x14ac:dyDescent="0.25">
      <c r="A4" s="3" t="s">
        <v>20</v>
      </c>
      <c r="B4" s="3" t="s">
        <v>29</v>
      </c>
      <c r="C4" s="3" t="s">
        <v>44</v>
      </c>
      <c r="D4" s="3" t="s">
        <v>59</v>
      </c>
      <c r="E4" s="3" t="s">
        <v>5</v>
      </c>
      <c r="F4" s="3" t="s">
        <v>63</v>
      </c>
      <c r="G4" s="3" t="s">
        <v>80</v>
      </c>
    </row>
    <row r="5" spans="1:14" x14ac:dyDescent="0.25">
      <c r="A5" s="3" t="s">
        <v>6</v>
      </c>
      <c r="B5" s="3" t="s">
        <v>0</v>
      </c>
      <c r="C5" s="3" t="s">
        <v>30</v>
      </c>
      <c r="D5" s="3" t="s">
        <v>45</v>
      </c>
      <c r="E5" s="3" t="s">
        <v>60</v>
      </c>
      <c r="F5" s="3" t="s">
        <v>63</v>
      </c>
      <c r="G5" s="3" t="s">
        <v>66</v>
      </c>
    </row>
    <row r="6" spans="1:14" x14ac:dyDescent="0.25">
      <c r="A6" s="3" t="s">
        <v>10</v>
      </c>
      <c r="B6" s="3" t="s">
        <v>23</v>
      </c>
      <c r="C6" s="3" t="s">
        <v>34</v>
      </c>
      <c r="D6" s="3" t="s">
        <v>49</v>
      </c>
      <c r="E6" s="3" t="s">
        <v>61</v>
      </c>
      <c r="F6" s="3" t="s">
        <v>64</v>
      </c>
      <c r="G6" s="3" t="s">
        <v>70</v>
      </c>
    </row>
    <row r="7" spans="1:14" x14ac:dyDescent="0.25">
      <c r="A7" s="3" t="s">
        <v>11</v>
      </c>
      <c r="B7" s="3" t="s">
        <v>24</v>
      </c>
      <c r="C7" s="3" t="s">
        <v>35</v>
      </c>
      <c r="D7" s="3" t="s">
        <v>50</v>
      </c>
      <c r="E7" s="3" t="s">
        <v>4</v>
      </c>
      <c r="F7" s="3" t="s">
        <v>65</v>
      </c>
      <c r="G7" s="3" t="s">
        <v>71</v>
      </c>
    </row>
    <row r="8" spans="1:14" x14ac:dyDescent="0.25">
      <c r="A8" s="3" t="s">
        <v>7</v>
      </c>
      <c r="B8" s="3" t="s">
        <v>1</v>
      </c>
      <c r="C8" s="3" t="s">
        <v>31</v>
      </c>
      <c r="D8" s="3" t="s">
        <v>46</v>
      </c>
      <c r="E8" s="3" t="s">
        <v>61</v>
      </c>
      <c r="F8" s="3" t="s">
        <v>64</v>
      </c>
      <c r="G8" s="3" t="s">
        <v>67</v>
      </c>
    </row>
    <row r="9" spans="1:14" x14ac:dyDescent="0.25">
      <c r="A9" s="3" t="s">
        <v>12</v>
      </c>
      <c r="B9" s="3" t="s">
        <v>1</v>
      </c>
      <c r="C9" s="3" t="s">
        <v>36</v>
      </c>
      <c r="D9" s="3" t="s">
        <v>51</v>
      </c>
      <c r="E9" s="3" t="s">
        <v>61</v>
      </c>
      <c r="F9" s="3" t="s">
        <v>63</v>
      </c>
      <c r="G9" s="3" t="s">
        <v>72</v>
      </c>
    </row>
    <row r="10" spans="1:14" x14ac:dyDescent="0.25">
      <c r="A10" s="3" t="s">
        <v>13</v>
      </c>
      <c r="B10" s="3" t="s">
        <v>1</v>
      </c>
      <c r="C10" s="3" t="s">
        <v>37</v>
      </c>
      <c r="D10" s="3" t="s">
        <v>52</v>
      </c>
      <c r="E10" s="3" t="s">
        <v>60</v>
      </c>
      <c r="F10" s="3" t="s">
        <v>64</v>
      </c>
      <c r="G10" s="3" t="s">
        <v>73</v>
      </c>
      <c r="N10" s="2"/>
    </row>
    <row r="11" spans="1:14" x14ac:dyDescent="0.25">
      <c r="A11" s="3" t="s">
        <v>8</v>
      </c>
      <c r="B11" s="3" t="s">
        <v>21</v>
      </c>
      <c r="C11" s="3" t="s">
        <v>32</v>
      </c>
      <c r="D11" s="3" t="s">
        <v>47</v>
      </c>
      <c r="E11" s="3" t="s">
        <v>4</v>
      </c>
      <c r="F11" s="3" t="s">
        <v>64</v>
      </c>
      <c r="G11" s="3" t="s">
        <v>68</v>
      </c>
      <c r="N11" s="2"/>
    </row>
    <row r="12" spans="1:14" x14ac:dyDescent="0.25">
      <c r="A12" s="3" t="s">
        <v>16</v>
      </c>
      <c r="B12" s="3" t="s">
        <v>26</v>
      </c>
      <c r="C12" s="3" t="s">
        <v>40</v>
      </c>
      <c r="D12" s="3" t="s">
        <v>55</v>
      </c>
      <c r="E12" s="3" t="s">
        <v>60</v>
      </c>
      <c r="F12" s="3" t="s">
        <v>65</v>
      </c>
      <c r="G12" s="3" t="s">
        <v>76</v>
      </c>
      <c r="N12" s="2"/>
    </row>
    <row r="13" spans="1:14" x14ac:dyDescent="0.25">
      <c r="A13" s="3" t="s">
        <v>18</v>
      </c>
      <c r="B13" s="3" t="s">
        <v>28</v>
      </c>
      <c r="C13" s="3" t="s">
        <v>42</v>
      </c>
      <c r="D13" s="3" t="s">
        <v>57</v>
      </c>
      <c r="E13" s="3" t="s">
        <v>3</v>
      </c>
      <c r="F13" s="3" t="s">
        <v>64</v>
      </c>
      <c r="G13" s="3" t="s">
        <v>78</v>
      </c>
      <c r="N13" s="2"/>
    </row>
    <row r="14" spans="1:14" x14ac:dyDescent="0.25">
      <c r="A14" s="3" t="s">
        <v>19</v>
      </c>
      <c r="B14" s="3" t="s">
        <v>28</v>
      </c>
      <c r="C14" s="3" t="s">
        <v>43</v>
      </c>
      <c r="D14" s="3" t="s">
        <v>58</v>
      </c>
      <c r="E14" s="3" t="s">
        <v>60</v>
      </c>
      <c r="F14" s="3" t="s">
        <v>63</v>
      </c>
      <c r="G14" s="3" t="s">
        <v>79</v>
      </c>
      <c r="N14" s="2"/>
    </row>
    <row r="15" spans="1:14" x14ac:dyDescent="0.25">
      <c r="A15" s="3" t="s">
        <v>14</v>
      </c>
      <c r="B15" s="3" t="s">
        <v>25</v>
      </c>
      <c r="C15" s="3" t="s">
        <v>38</v>
      </c>
      <c r="D15" s="3" t="s">
        <v>53</v>
      </c>
      <c r="E15" s="3" t="s">
        <v>62</v>
      </c>
      <c r="F15" s="3" t="s">
        <v>63</v>
      </c>
      <c r="G15" s="3" t="s">
        <v>74</v>
      </c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sortState ref="A1:G15">
    <sortCondition ref="B1"/>
  </sortState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8D210-3528-45FC-BC52-075C0C3160CD}">
  <sheetPr codeName="Sheet2"/>
  <dimension ref="A1:N19"/>
  <sheetViews>
    <sheetView workbookViewId="0">
      <selection activeCell="J16" sqref="J16"/>
    </sheetView>
  </sheetViews>
  <sheetFormatPr defaultRowHeight="15" x14ac:dyDescent="0.25"/>
  <cols>
    <col min="1" max="1" width="9" style="1" bestFit="1" customWidth="1"/>
    <col min="2" max="2" width="4.5" style="1" bestFit="1" customWidth="1"/>
    <col min="3" max="3" width="10.5" style="1" bestFit="1" customWidth="1"/>
    <col min="4" max="4" width="13.6640625" style="1" bestFit="1" customWidth="1"/>
    <col min="5" max="6" width="3" style="1" bestFit="1" customWidth="1"/>
    <col min="7" max="7" width="9" style="1" bestFit="1" customWidth="1"/>
    <col min="8" max="8" width="9.33203125" style="1"/>
    <col min="9" max="9" width="21.33203125" style="1" bestFit="1" customWidth="1"/>
    <col min="10" max="10" width="24.5" style="1" bestFit="1" customWidth="1"/>
    <col min="11" max="13" width="9.33203125" style="1"/>
    <col min="14" max="14" width="10.5" style="1" bestFit="1" customWidth="1"/>
    <col min="15" max="16384" width="9.33203125" style="1"/>
  </cols>
  <sheetData>
    <row r="1" spans="1:14" x14ac:dyDescent="0.25">
      <c r="A1" s="3" t="s">
        <v>15</v>
      </c>
      <c r="B1" s="3" t="s">
        <v>22</v>
      </c>
      <c r="C1" s="3" t="s">
        <v>39</v>
      </c>
      <c r="D1" s="3" t="s">
        <v>54</v>
      </c>
      <c r="E1" s="3" t="s">
        <v>4</v>
      </c>
      <c r="F1" s="3" t="s">
        <v>63</v>
      </c>
      <c r="G1" s="3" t="s">
        <v>75</v>
      </c>
      <c r="I1" s="1" t="s">
        <v>81</v>
      </c>
      <c r="J1" s="1" t="s">
        <v>87</v>
      </c>
    </row>
    <row r="2" spans="1:14" x14ac:dyDescent="0.25">
      <c r="A2" s="3" t="s">
        <v>11</v>
      </c>
      <c r="B2" s="3" t="s">
        <v>2</v>
      </c>
      <c r="C2" s="3" t="s">
        <v>35</v>
      </c>
      <c r="D2" s="3" t="s">
        <v>50</v>
      </c>
      <c r="E2" s="3" t="s">
        <v>4</v>
      </c>
      <c r="F2" s="3" t="s">
        <v>65</v>
      </c>
      <c r="G2" s="3" t="s">
        <v>71</v>
      </c>
      <c r="I2" s="1" t="s">
        <v>81</v>
      </c>
      <c r="J2" s="1" t="s">
        <v>89</v>
      </c>
    </row>
    <row r="3" spans="1:14" x14ac:dyDescent="0.25">
      <c r="A3" s="3" t="s">
        <v>8</v>
      </c>
      <c r="B3" s="3" t="s">
        <v>27</v>
      </c>
      <c r="C3" s="3" t="s">
        <v>32</v>
      </c>
      <c r="D3" s="3" t="s">
        <v>47</v>
      </c>
      <c r="E3" s="3" t="s">
        <v>4</v>
      </c>
      <c r="F3" s="3" t="s">
        <v>64</v>
      </c>
      <c r="G3" s="3" t="s">
        <v>68</v>
      </c>
      <c r="I3" s="1" t="s">
        <v>81</v>
      </c>
      <c r="J3" s="1" t="s">
        <v>88</v>
      </c>
    </row>
    <row r="4" spans="1:14" x14ac:dyDescent="0.25">
      <c r="A4" s="3" t="s">
        <v>10</v>
      </c>
      <c r="B4" s="3" t="s">
        <v>29</v>
      </c>
      <c r="C4" s="3" t="s">
        <v>34</v>
      </c>
      <c r="D4" s="3" t="s">
        <v>49</v>
      </c>
      <c r="E4" s="3" t="s">
        <v>61</v>
      </c>
      <c r="F4" s="3" t="s">
        <v>64</v>
      </c>
      <c r="G4" s="3" t="s">
        <v>70</v>
      </c>
      <c r="I4" s="1" t="s">
        <v>82</v>
      </c>
      <c r="J4" s="1" t="s">
        <v>88</v>
      </c>
    </row>
    <row r="5" spans="1:14" x14ac:dyDescent="0.25">
      <c r="A5" s="3" t="s">
        <v>7</v>
      </c>
      <c r="B5" s="3" t="s">
        <v>0</v>
      </c>
      <c r="C5" s="3" t="s">
        <v>31</v>
      </c>
      <c r="D5" s="3" t="s">
        <v>46</v>
      </c>
      <c r="E5" s="3" t="s">
        <v>61</v>
      </c>
      <c r="F5" s="3" t="s">
        <v>64</v>
      </c>
      <c r="G5" s="3" t="s">
        <v>67</v>
      </c>
      <c r="I5" s="1" t="s">
        <v>82</v>
      </c>
      <c r="J5" s="1" t="s">
        <v>88</v>
      </c>
    </row>
    <row r="6" spans="1:14" x14ac:dyDescent="0.25">
      <c r="A6" s="3" t="s">
        <v>12</v>
      </c>
      <c r="B6" s="3" t="s">
        <v>23</v>
      </c>
      <c r="C6" s="3" t="s">
        <v>36</v>
      </c>
      <c r="D6" s="3" t="s">
        <v>51</v>
      </c>
      <c r="E6" s="3" t="s">
        <v>61</v>
      </c>
      <c r="F6" s="3" t="s">
        <v>63</v>
      </c>
      <c r="G6" s="3" t="s">
        <v>72</v>
      </c>
      <c r="I6" s="1" t="s">
        <v>82</v>
      </c>
      <c r="J6" s="1" t="s">
        <v>87</v>
      </c>
    </row>
    <row r="7" spans="1:14" x14ac:dyDescent="0.25">
      <c r="A7" s="3" t="s">
        <v>20</v>
      </c>
      <c r="B7" s="3" t="s">
        <v>24</v>
      </c>
      <c r="C7" s="3" t="s">
        <v>44</v>
      </c>
      <c r="D7" s="3" t="s">
        <v>59</v>
      </c>
      <c r="E7" s="3" t="s">
        <v>5</v>
      </c>
      <c r="F7" s="3" t="s">
        <v>63</v>
      </c>
      <c r="G7" s="3" t="s">
        <v>80</v>
      </c>
      <c r="I7" s="1" t="s">
        <v>83</v>
      </c>
      <c r="J7" s="1" t="s">
        <v>87</v>
      </c>
    </row>
    <row r="8" spans="1:14" x14ac:dyDescent="0.25">
      <c r="A8" s="3" t="s">
        <v>17</v>
      </c>
      <c r="B8" s="3" t="s">
        <v>1</v>
      </c>
      <c r="C8" s="3" t="s">
        <v>41</v>
      </c>
      <c r="D8" s="3" t="s">
        <v>56</v>
      </c>
      <c r="E8" s="3" t="s">
        <v>3</v>
      </c>
      <c r="F8" s="3" t="s">
        <v>65</v>
      </c>
      <c r="G8" s="3" t="s">
        <v>77</v>
      </c>
      <c r="I8" s="1" t="s">
        <v>84</v>
      </c>
      <c r="J8" s="1" t="s">
        <v>89</v>
      </c>
    </row>
    <row r="9" spans="1:14" x14ac:dyDescent="0.25">
      <c r="A9" s="3" t="s">
        <v>18</v>
      </c>
      <c r="B9" s="3" t="s">
        <v>1</v>
      </c>
      <c r="C9" s="3" t="s">
        <v>42</v>
      </c>
      <c r="D9" s="3" t="s">
        <v>57</v>
      </c>
      <c r="E9" s="3" t="s">
        <v>3</v>
      </c>
      <c r="F9" s="3" t="s">
        <v>64</v>
      </c>
      <c r="G9" s="3" t="s">
        <v>78</v>
      </c>
      <c r="I9" s="1" t="s">
        <v>84</v>
      </c>
      <c r="J9" s="1" t="s">
        <v>88</v>
      </c>
    </row>
    <row r="10" spans="1:14" x14ac:dyDescent="0.25">
      <c r="A10" s="3" t="s">
        <v>9</v>
      </c>
      <c r="B10" s="3" t="s">
        <v>1</v>
      </c>
      <c r="C10" s="3" t="s">
        <v>33</v>
      </c>
      <c r="D10" s="3" t="s">
        <v>48</v>
      </c>
      <c r="E10" s="3" t="s">
        <v>62</v>
      </c>
      <c r="F10" s="3" t="s">
        <v>64</v>
      </c>
      <c r="G10" s="3" t="s">
        <v>69</v>
      </c>
      <c r="I10" s="1" t="s">
        <v>85</v>
      </c>
      <c r="J10" s="1" t="s">
        <v>88</v>
      </c>
      <c r="N10" s="2"/>
    </row>
    <row r="11" spans="1:14" x14ac:dyDescent="0.25">
      <c r="A11" s="3" t="s">
        <v>14</v>
      </c>
      <c r="B11" s="3" t="s">
        <v>21</v>
      </c>
      <c r="C11" s="3" t="s">
        <v>38</v>
      </c>
      <c r="D11" s="3" t="s">
        <v>53</v>
      </c>
      <c r="E11" s="3" t="s">
        <v>62</v>
      </c>
      <c r="F11" s="3" t="s">
        <v>63</v>
      </c>
      <c r="G11" s="3" t="s">
        <v>74</v>
      </c>
      <c r="I11" s="1" t="s">
        <v>85</v>
      </c>
      <c r="J11" s="1" t="s">
        <v>87</v>
      </c>
      <c r="N11" s="2"/>
    </row>
    <row r="12" spans="1:14" x14ac:dyDescent="0.25">
      <c r="A12" s="3" t="s">
        <v>6</v>
      </c>
      <c r="B12" s="3" t="s">
        <v>26</v>
      </c>
      <c r="C12" s="3" t="s">
        <v>30</v>
      </c>
      <c r="D12" s="3" t="s">
        <v>45</v>
      </c>
      <c r="E12" s="3" t="s">
        <v>60</v>
      </c>
      <c r="F12" s="3" t="s">
        <v>63</v>
      </c>
      <c r="G12" s="3" t="s">
        <v>66</v>
      </c>
      <c r="I12" s="1" t="s">
        <v>86</v>
      </c>
      <c r="J12" s="1" t="s">
        <v>87</v>
      </c>
      <c r="N12" s="2"/>
    </row>
    <row r="13" spans="1:14" x14ac:dyDescent="0.25">
      <c r="A13" s="3" t="s">
        <v>13</v>
      </c>
      <c r="B13" s="3" t="s">
        <v>28</v>
      </c>
      <c r="C13" s="3" t="s">
        <v>37</v>
      </c>
      <c r="D13" s="3" t="s">
        <v>52</v>
      </c>
      <c r="E13" s="3" t="s">
        <v>60</v>
      </c>
      <c r="F13" s="3" t="s">
        <v>64</v>
      </c>
      <c r="G13" s="3" t="s">
        <v>73</v>
      </c>
      <c r="I13" s="1" t="s">
        <v>86</v>
      </c>
      <c r="J13" s="1" t="s">
        <v>88</v>
      </c>
      <c r="N13" s="2"/>
    </row>
    <row r="14" spans="1:14" x14ac:dyDescent="0.25">
      <c r="A14" s="3" t="s">
        <v>16</v>
      </c>
      <c r="B14" s="3" t="s">
        <v>28</v>
      </c>
      <c r="C14" s="3" t="s">
        <v>40</v>
      </c>
      <c r="D14" s="3" t="s">
        <v>55</v>
      </c>
      <c r="E14" s="3" t="s">
        <v>60</v>
      </c>
      <c r="F14" s="3" t="s">
        <v>65</v>
      </c>
      <c r="G14" s="3" t="s">
        <v>76</v>
      </c>
      <c r="I14" s="1" t="s">
        <v>86</v>
      </c>
      <c r="J14" s="1" t="s">
        <v>89</v>
      </c>
      <c r="N14" s="2"/>
    </row>
    <row r="15" spans="1:14" x14ac:dyDescent="0.25">
      <c r="A15" s="3" t="s">
        <v>19</v>
      </c>
      <c r="B15" s="3" t="s">
        <v>25</v>
      </c>
      <c r="C15" s="3" t="s">
        <v>43</v>
      </c>
      <c r="D15" s="3" t="s">
        <v>58</v>
      </c>
      <c r="E15" s="3" t="s">
        <v>60</v>
      </c>
      <c r="F15" s="3" t="s">
        <v>63</v>
      </c>
      <c r="G15" s="3" t="s">
        <v>79</v>
      </c>
      <c r="I15" s="1" t="s">
        <v>86</v>
      </c>
      <c r="J15" s="1" t="s">
        <v>87</v>
      </c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sortState ref="B1:B15">
    <sortCondition ref="B1"/>
  </sortState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EBB7-AE4C-43B1-BF7E-4414EE1CFD58}">
  <sheetPr codeName="Sheet3"/>
  <dimension ref="A1:N27"/>
  <sheetViews>
    <sheetView workbookViewId="0">
      <selection activeCell="C3" sqref="C3:C6"/>
    </sheetView>
  </sheetViews>
  <sheetFormatPr defaultRowHeight="15" x14ac:dyDescent="0.25"/>
  <cols>
    <col min="1" max="1" width="32.33203125" style="1" bestFit="1" customWidth="1"/>
    <col min="2" max="2" width="21.33203125" style="1" bestFit="1" customWidth="1"/>
    <col min="3" max="3" width="15.1640625" style="1" bestFit="1" customWidth="1"/>
    <col min="4" max="5" width="21.33203125" style="1" bestFit="1" customWidth="1"/>
    <col min="6" max="6" width="27.6640625" style="1" bestFit="1" customWidth="1"/>
    <col min="7" max="7" width="29.1640625" style="1" bestFit="1" customWidth="1"/>
    <col min="8" max="8" width="9.33203125" style="1"/>
    <col min="9" max="9" width="21.33203125" style="1" bestFit="1" customWidth="1"/>
    <col min="10" max="10" width="24.5" style="1" bestFit="1" customWidth="1"/>
    <col min="11" max="11" width="9.33203125" style="1"/>
    <col min="12" max="12" width="21.33203125" style="1" bestFit="1" customWidth="1"/>
    <col min="13" max="13" width="9.33203125" style="1"/>
    <col min="14" max="14" width="10.5" style="1" bestFit="1" customWidth="1"/>
    <col min="15" max="16384" width="9.33203125" style="1"/>
  </cols>
  <sheetData>
    <row r="1" spans="1:14" x14ac:dyDescent="0.25">
      <c r="A1" s="1" t="s">
        <v>101</v>
      </c>
    </row>
    <row r="2" spans="1:14" x14ac:dyDescent="0.25">
      <c r="A2" s="5" t="s">
        <v>92</v>
      </c>
      <c r="B2" s="5" t="s">
        <v>90</v>
      </c>
      <c r="C2" s="5" t="s">
        <v>91</v>
      </c>
      <c r="D2" s="5" t="s">
        <v>93</v>
      </c>
      <c r="E2" s="5" t="s">
        <v>94</v>
      </c>
      <c r="F2" s="5" t="s">
        <v>95</v>
      </c>
      <c r="G2" s="5" t="s">
        <v>96</v>
      </c>
      <c r="H2" s="5"/>
      <c r="I2" s="5"/>
      <c r="J2" s="5"/>
      <c r="K2" s="5"/>
      <c r="L2" s="5" t="s">
        <v>97</v>
      </c>
    </row>
    <row r="3" spans="1:14" x14ac:dyDescent="0.25">
      <c r="A3" s="6" t="s">
        <v>15</v>
      </c>
      <c r="B3" s="6" t="s">
        <v>22</v>
      </c>
      <c r="C3" s="6" t="s">
        <v>39</v>
      </c>
      <c r="D3" s="6" t="s">
        <v>54</v>
      </c>
      <c r="E3" s="6" t="s">
        <v>4</v>
      </c>
      <c r="F3" s="6" t="s">
        <v>63</v>
      </c>
      <c r="G3" s="6" t="s">
        <v>75</v>
      </c>
      <c r="H3" s="5"/>
      <c r="I3" s="5" t="s">
        <v>81</v>
      </c>
      <c r="J3" s="5" t="s">
        <v>87</v>
      </c>
      <c r="K3" s="5"/>
      <c r="L3" s="7">
        <f>C3+G3</f>
        <v>273130</v>
      </c>
    </row>
    <row r="4" spans="1:14" x14ac:dyDescent="0.25">
      <c r="A4" s="6" t="s">
        <v>11</v>
      </c>
      <c r="B4" s="6" t="s">
        <v>2</v>
      </c>
      <c r="C4" s="6" t="s">
        <v>35</v>
      </c>
      <c r="D4" s="6" t="s">
        <v>50</v>
      </c>
      <c r="E4" s="6" t="s">
        <v>4</v>
      </c>
      <c r="F4" s="6" t="s">
        <v>65</v>
      </c>
      <c r="G4" s="6" t="s">
        <v>71</v>
      </c>
      <c r="H4" s="5"/>
      <c r="I4" s="5" t="s">
        <v>81</v>
      </c>
      <c r="J4" s="5" t="s">
        <v>89</v>
      </c>
      <c r="K4" s="5"/>
      <c r="L4" s="7">
        <f t="shared" ref="L4:L17" si="0">C4+G4</f>
        <v>757759</v>
      </c>
    </row>
    <row r="5" spans="1:14" x14ac:dyDescent="0.25">
      <c r="A5" s="6" t="s">
        <v>8</v>
      </c>
      <c r="B5" s="6" t="s">
        <v>27</v>
      </c>
      <c r="C5" s="6" t="s">
        <v>32</v>
      </c>
      <c r="D5" s="6" t="s">
        <v>47</v>
      </c>
      <c r="E5" s="6" t="s">
        <v>4</v>
      </c>
      <c r="F5" s="6" t="s">
        <v>64</v>
      </c>
      <c r="G5" s="6" t="s">
        <v>68</v>
      </c>
      <c r="H5" s="5"/>
      <c r="I5" s="5" t="s">
        <v>81</v>
      </c>
      <c r="J5" s="5" t="s">
        <v>88</v>
      </c>
      <c r="K5" s="5"/>
      <c r="L5" s="7">
        <f t="shared" si="0"/>
        <v>318343</v>
      </c>
    </row>
    <row r="6" spans="1:14" x14ac:dyDescent="0.25">
      <c r="A6" s="6" t="s">
        <v>10</v>
      </c>
      <c r="B6" s="6" t="s">
        <v>29</v>
      </c>
      <c r="C6" s="6" t="s">
        <v>34</v>
      </c>
      <c r="D6" s="6" t="s">
        <v>49</v>
      </c>
      <c r="E6" s="6" t="s">
        <v>61</v>
      </c>
      <c r="F6" s="6" t="s">
        <v>64</v>
      </c>
      <c r="G6" s="6" t="s">
        <v>70</v>
      </c>
      <c r="H6" s="5"/>
      <c r="I6" s="5" t="s">
        <v>82</v>
      </c>
      <c r="J6" s="5" t="s">
        <v>88</v>
      </c>
      <c r="K6" s="5"/>
      <c r="L6" s="7">
        <f t="shared" si="0"/>
        <v>330938</v>
      </c>
    </row>
    <row r="7" spans="1:14" x14ac:dyDescent="0.25">
      <c r="A7" s="6" t="s">
        <v>7</v>
      </c>
      <c r="B7" s="6" t="s">
        <v>0</v>
      </c>
      <c r="C7" s="6" t="s">
        <v>31</v>
      </c>
      <c r="D7" s="6" t="s">
        <v>46</v>
      </c>
      <c r="E7" s="6" t="s">
        <v>61</v>
      </c>
      <c r="F7" s="6" t="s">
        <v>64</v>
      </c>
      <c r="G7" s="6" t="s">
        <v>67</v>
      </c>
      <c r="H7" s="5"/>
      <c r="I7" s="5" t="s">
        <v>82</v>
      </c>
      <c r="J7" s="5" t="s">
        <v>88</v>
      </c>
      <c r="K7" s="5"/>
      <c r="L7" s="7">
        <f t="shared" si="0"/>
        <v>347615</v>
      </c>
    </row>
    <row r="8" spans="1:14" x14ac:dyDescent="0.25">
      <c r="A8" s="6" t="s">
        <v>12</v>
      </c>
      <c r="B8" s="6" t="s">
        <v>23</v>
      </c>
      <c r="C8" s="6" t="s">
        <v>36</v>
      </c>
      <c r="D8" s="6" t="s">
        <v>51</v>
      </c>
      <c r="E8" s="6" t="s">
        <v>61</v>
      </c>
      <c r="F8" s="6" t="s">
        <v>63</v>
      </c>
      <c r="G8" s="6" t="s">
        <v>72</v>
      </c>
      <c r="H8" s="5"/>
      <c r="I8" s="5" t="s">
        <v>82</v>
      </c>
      <c r="J8" s="5" t="s">
        <v>87</v>
      </c>
      <c r="K8" s="5"/>
      <c r="L8" s="7">
        <f t="shared" si="0"/>
        <v>255730</v>
      </c>
    </row>
    <row r="9" spans="1:14" x14ac:dyDescent="0.25">
      <c r="A9" s="6" t="s">
        <v>20</v>
      </c>
      <c r="B9" s="6" t="s">
        <v>24</v>
      </c>
      <c r="C9" s="6" t="s">
        <v>44</v>
      </c>
      <c r="D9" s="6" t="s">
        <v>59</v>
      </c>
      <c r="E9" s="6" t="s">
        <v>5</v>
      </c>
      <c r="F9" s="6" t="s">
        <v>63</v>
      </c>
      <c r="G9" s="6" t="s">
        <v>80</v>
      </c>
      <c r="H9" s="5"/>
      <c r="I9" s="5" t="s">
        <v>83</v>
      </c>
      <c r="J9" s="5" t="s">
        <v>87</v>
      </c>
      <c r="K9" s="5"/>
      <c r="L9" s="7">
        <f t="shared" si="0"/>
        <v>436223</v>
      </c>
    </row>
    <row r="10" spans="1:14" x14ac:dyDescent="0.25">
      <c r="A10" s="6" t="s">
        <v>17</v>
      </c>
      <c r="B10" s="6" t="s">
        <v>1</v>
      </c>
      <c r="C10" s="6" t="s">
        <v>41</v>
      </c>
      <c r="D10" s="6" t="s">
        <v>56</v>
      </c>
      <c r="E10" s="6" t="s">
        <v>3</v>
      </c>
      <c r="F10" s="6" t="s">
        <v>65</v>
      </c>
      <c r="G10" s="6" t="s">
        <v>77</v>
      </c>
      <c r="H10" s="5"/>
      <c r="I10" s="5" t="s">
        <v>84</v>
      </c>
      <c r="J10" s="5" t="s">
        <v>89</v>
      </c>
      <c r="K10" s="5"/>
      <c r="L10" s="7">
        <f t="shared" si="0"/>
        <v>801516</v>
      </c>
    </row>
    <row r="11" spans="1:14" x14ac:dyDescent="0.25">
      <c r="A11" s="6" t="s">
        <v>18</v>
      </c>
      <c r="B11" s="6" t="s">
        <v>1</v>
      </c>
      <c r="C11" s="6" t="s">
        <v>42</v>
      </c>
      <c r="D11" s="6" t="s">
        <v>57</v>
      </c>
      <c r="E11" s="6" t="s">
        <v>3</v>
      </c>
      <c r="F11" s="6" t="s">
        <v>64</v>
      </c>
      <c r="G11" s="6" t="s">
        <v>78</v>
      </c>
      <c r="H11" s="5"/>
      <c r="I11" s="5" t="s">
        <v>84</v>
      </c>
      <c r="J11" s="5" t="s">
        <v>88</v>
      </c>
      <c r="K11" s="5"/>
      <c r="L11" s="7">
        <f t="shared" si="0"/>
        <v>168480</v>
      </c>
    </row>
    <row r="12" spans="1:14" x14ac:dyDescent="0.25">
      <c r="A12" s="6" t="s">
        <v>9</v>
      </c>
      <c r="B12" s="6" t="s">
        <v>1</v>
      </c>
      <c r="C12" s="6" t="s">
        <v>33</v>
      </c>
      <c r="D12" s="6" t="s">
        <v>48</v>
      </c>
      <c r="E12" s="6" t="s">
        <v>62</v>
      </c>
      <c r="F12" s="6" t="s">
        <v>64</v>
      </c>
      <c r="G12" s="6" t="s">
        <v>69</v>
      </c>
      <c r="H12" s="5"/>
      <c r="I12" s="5" t="s">
        <v>85</v>
      </c>
      <c r="J12" s="5" t="s">
        <v>88</v>
      </c>
      <c r="K12" s="5"/>
      <c r="L12" s="7">
        <f t="shared" si="0"/>
        <v>986424</v>
      </c>
      <c r="N12" s="2"/>
    </row>
    <row r="13" spans="1:14" x14ac:dyDescent="0.25">
      <c r="A13" s="6" t="s">
        <v>14</v>
      </c>
      <c r="B13" s="6" t="s">
        <v>21</v>
      </c>
      <c r="C13" s="6" t="s">
        <v>38</v>
      </c>
      <c r="D13" s="6" t="s">
        <v>53</v>
      </c>
      <c r="E13" s="6" t="s">
        <v>62</v>
      </c>
      <c r="F13" s="6" t="s">
        <v>63</v>
      </c>
      <c r="G13" s="6" t="s">
        <v>74</v>
      </c>
      <c r="H13" s="5"/>
      <c r="I13" s="5" t="s">
        <v>85</v>
      </c>
      <c r="J13" s="5" t="s">
        <v>87</v>
      </c>
      <c r="K13" s="5"/>
      <c r="L13" s="7">
        <f t="shared" si="0"/>
        <v>553585</v>
      </c>
      <c r="N13" s="2"/>
    </row>
    <row r="14" spans="1:14" x14ac:dyDescent="0.25">
      <c r="A14" s="6" t="s">
        <v>6</v>
      </c>
      <c r="B14" s="6" t="s">
        <v>26</v>
      </c>
      <c r="C14" s="6" t="s">
        <v>30</v>
      </c>
      <c r="D14" s="6" t="s">
        <v>45</v>
      </c>
      <c r="E14" s="6" t="s">
        <v>60</v>
      </c>
      <c r="F14" s="6" t="s">
        <v>63</v>
      </c>
      <c r="G14" s="6" t="s">
        <v>66</v>
      </c>
      <c r="H14" s="5"/>
      <c r="I14" s="5" t="s">
        <v>86</v>
      </c>
      <c r="J14" s="5" t="s">
        <v>87</v>
      </c>
      <c r="K14" s="5"/>
      <c r="L14" s="7">
        <f t="shared" si="0"/>
        <v>710428</v>
      </c>
      <c r="N14" s="2"/>
    </row>
    <row r="15" spans="1:14" x14ac:dyDescent="0.25">
      <c r="A15" s="6" t="s">
        <v>13</v>
      </c>
      <c r="B15" s="6" t="s">
        <v>28</v>
      </c>
      <c r="C15" s="6" t="s">
        <v>37</v>
      </c>
      <c r="D15" s="6" t="s">
        <v>52</v>
      </c>
      <c r="E15" s="6" t="s">
        <v>60</v>
      </c>
      <c r="F15" s="6" t="s">
        <v>64</v>
      </c>
      <c r="G15" s="6" t="s">
        <v>73</v>
      </c>
      <c r="H15" s="5"/>
      <c r="I15" s="5" t="s">
        <v>86</v>
      </c>
      <c r="J15" s="5" t="s">
        <v>88</v>
      </c>
      <c r="K15" s="5"/>
      <c r="L15" s="7">
        <f t="shared" si="0"/>
        <v>868710</v>
      </c>
      <c r="N15" s="2"/>
    </row>
    <row r="16" spans="1:14" x14ac:dyDescent="0.25">
      <c r="A16" s="6" t="s">
        <v>16</v>
      </c>
      <c r="B16" s="6" t="s">
        <v>28</v>
      </c>
      <c r="C16" s="6" t="s">
        <v>40</v>
      </c>
      <c r="D16" s="6" t="s">
        <v>55</v>
      </c>
      <c r="E16" s="6" t="s">
        <v>60</v>
      </c>
      <c r="F16" s="6" t="s">
        <v>65</v>
      </c>
      <c r="G16" s="6" t="s">
        <v>76</v>
      </c>
      <c r="H16" s="5"/>
      <c r="I16" s="5" t="s">
        <v>86</v>
      </c>
      <c r="J16" s="5" t="s">
        <v>89</v>
      </c>
      <c r="K16" s="5"/>
      <c r="L16" s="7">
        <f t="shared" si="0"/>
        <v>350532</v>
      </c>
      <c r="N16" s="2"/>
    </row>
    <row r="17" spans="1:14" x14ac:dyDescent="0.25">
      <c r="A17" s="6" t="s">
        <v>19</v>
      </c>
      <c r="B17" s="6" t="s">
        <v>25</v>
      </c>
      <c r="C17" s="6" t="s">
        <v>43</v>
      </c>
      <c r="D17" s="6" t="s">
        <v>58</v>
      </c>
      <c r="E17" s="6" t="s">
        <v>60</v>
      </c>
      <c r="F17" s="6" t="s">
        <v>63</v>
      </c>
      <c r="G17" s="6" t="s">
        <v>79</v>
      </c>
      <c r="H17" s="5"/>
      <c r="I17" s="5" t="s">
        <v>86</v>
      </c>
      <c r="J17" s="5" t="s">
        <v>87</v>
      </c>
      <c r="K17" s="5"/>
      <c r="L17" s="7">
        <f t="shared" si="0"/>
        <v>310065</v>
      </c>
      <c r="N17" s="2"/>
    </row>
    <row r="18" spans="1:14" x14ac:dyDescent="0.25">
      <c r="A18" s="5"/>
      <c r="B18" s="5"/>
      <c r="C18" s="5"/>
      <c r="E18" s="5"/>
      <c r="F18" s="5"/>
      <c r="G18" s="5"/>
      <c r="H18" s="5"/>
      <c r="I18" s="5"/>
      <c r="J18" s="5"/>
      <c r="K18" s="5"/>
      <c r="L18" s="5"/>
      <c r="N18" s="2"/>
    </row>
    <row r="19" spans="1:14" x14ac:dyDescent="0.25">
      <c r="A19" s="5" t="s">
        <v>102</v>
      </c>
      <c r="B19" s="5" t="s">
        <v>103</v>
      </c>
      <c r="C19" s="5"/>
      <c r="D19" s="5"/>
      <c r="E19" s="5"/>
      <c r="F19" s="5"/>
      <c r="G19" s="5"/>
      <c r="H19" s="5"/>
      <c r="I19" s="5"/>
      <c r="J19" s="5" t="s">
        <v>99</v>
      </c>
      <c r="K19" s="5"/>
      <c r="L19" s="7">
        <f>SUM(L3:L17)</f>
        <v>7469478</v>
      </c>
      <c r="N19" s="2"/>
    </row>
    <row r="20" spans="1:14" x14ac:dyDescent="0.25">
      <c r="A20" s="5"/>
      <c r="B20" s="5"/>
      <c r="C20" s="5"/>
      <c r="D20" s="5" t="s">
        <v>98</v>
      </c>
      <c r="E20" s="5"/>
      <c r="F20" s="5"/>
      <c r="G20" s="5"/>
      <c r="H20" s="5"/>
      <c r="I20" s="5"/>
      <c r="J20" s="5" t="s">
        <v>100</v>
      </c>
      <c r="K20" s="5"/>
      <c r="L20" s="5">
        <v>15</v>
      </c>
      <c r="N20" s="2"/>
    </row>
    <row r="21" spans="1:14" x14ac:dyDescent="0.25">
      <c r="N21" s="2"/>
    </row>
    <row r="22" spans="1:14" x14ac:dyDescent="0.25">
      <c r="D22" s="1" t="s">
        <v>81</v>
      </c>
      <c r="E22" s="4">
        <f>L3+L4+L5</f>
        <v>1349232</v>
      </c>
    </row>
    <row r="23" spans="1:14" x14ac:dyDescent="0.25">
      <c r="D23" s="1" t="s">
        <v>82</v>
      </c>
      <c r="E23" s="4">
        <f>L6+L7+L8</f>
        <v>934283</v>
      </c>
    </row>
    <row r="24" spans="1:14" x14ac:dyDescent="0.25">
      <c r="D24" s="1" t="s">
        <v>83</v>
      </c>
      <c r="E24" s="4">
        <f>L9</f>
        <v>436223</v>
      </c>
    </row>
    <row r="25" spans="1:14" x14ac:dyDescent="0.25">
      <c r="D25" s="1" t="s">
        <v>84</v>
      </c>
      <c r="E25" s="4">
        <f>L10+L11</f>
        <v>969996</v>
      </c>
    </row>
    <row r="26" spans="1:14" x14ac:dyDescent="0.25">
      <c r="D26" s="1" t="s">
        <v>85</v>
      </c>
      <c r="E26" s="4">
        <f>L12+L13</f>
        <v>1540009</v>
      </c>
    </row>
    <row r="27" spans="1:14" x14ac:dyDescent="0.25">
      <c r="D27" s="1" t="s">
        <v>86</v>
      </c>
      <c r="E27" s="4">
        <f>L15+L16+L17</f>
        <v>1529307</v>
      </c>
    </row>
  </sheetData>
  <pageMargins left="0.7" right="0.7" top="0.75" bottom="0.75" header="0.3" footer="0.3"/>
  <pageSetup orientation="portrait" horizontalDpi="4294967295" verticalDpi="4294967295" r:id="rId1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CBLBOAT1</vt:lpstr>
      <vt:lpstr>Expectations</vt:lpstr>
      <vt:lpstr>Expected OutCome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2018-01-24T18:01:33Z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